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-120" yWindow="-120" windowWidth="20730" windowHeight="11160" tabRatio="594" firstSheet="2" activeTab="3"/>
  </bookViews>
  <sheets>
    <sheet name="Business" sheetId="2" state="hidden" r:id="rId1"/>
    <sheet name="Scope" sheetId="7" state="hidden" r:id="rId2"/>
    <sheet name="Production, Raw Mat" sheetId="3" r:id="rId3"/>
    <sheet name="Energy, GHG" sheetId="4" r:id="rId4"/>
    <sheet name="Energy, GHG (2)" sheetId="12" state="hidden" r:id="rId5"/>
    <sheet name="Water" sheetId="9" r:id="rId6"/>
    <sheet name="Waste" sheetId="10" r:id="rId7"/>
    <sheet name="Emission" sheetId="11" r:id="rId8"/>
    <sheet name="CO2 SAY PHUN" sheetId="13" state="hidden" r:id="rId9"/>
  </sheets>
  <externalReferences>
    <externalReference r:id="rId10"/>
    <externalReference r:id="rId11"/>
  </externalReferences>
  <definedNames>
    <definedName name="_xlnm._FilterDatabase" localSheetId="0" hidden="1">Business!$A$1:$O$36</definedName>
    <definedName name="AS2DocOpenMode" hidden="1">"AS2DocumentEdit"</definedName>
  </definedName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F15" i="10"/>
  <c r="DG55" i="11" l="1"/>
  <c r="DG33"/>
  <c r="DG18"/>
  <c r="DF51"/>
  <c r="DF49"/>
  <c r="DF48"/>
  <c r="DF47"/>
  <c r="DF46"/>
  <c r="DF45"/>
  <c r="DF44"/>
  <c r="DF43"/>
  <c r="DF42"/>
  <c r="DF41"/>
  <c r="DF33"/>
  <c r="DF31"/>
  <c r="DF30"/>
  <c r="DF29"/>
  <c r="DF28"/>
  <c r="DF27"/>
  <c r="DF26"/>
  <c r="DF25"/>
  <c r="DF24"/>
  <c r="DF23"/>
  <c r="DF15"/>
  <c r="DF13"/>
  <c r="DF12"/>
  <c r="DF10"/>
  <c r="DF11"/>
  <c r="DF9"/>
  <c r="DF8"/>
  <c r="DF7"/>
  <c r="DF6"/>
  <c r="DF5"/>
  <c r="DC51" l="1"/>
  <c r="DC50"/>
  <c r="DC49"/>
  <c r="DC48"/>
  <c r="DC47"/>
  <c r="DC46"/>
  <c r="DC45"/>
  <c r="DC44"/>
  <c r="DC43"/>
  <c r="DC42"/>
  <c r="DC41"/>
  <c r="DC33"/>
  <c r="DC32"/>
  <c r="DC31"/>
  <c r="DC30"/>
  <c r="DC29"/>
  <c r="DC28"/>
  <c r="DC27"/>
  <c r="DC26"/>
  <c r="DC25"/>
  <c r="DC24"/>
  <c r="DC23"/>
  <c r="DC15"/>
  <c r="DC14"/>
  <c r="DC13"/>
  <c r="DC12"/>
  <c r="DC11"/>
  <c r="DC10"/>
  <c r="DC9"/>
  <c r="DC8"/>
  <c r="DC7"/>
  <c r="DC6"/>
  <c r="DC5"/>
  <c r="BF31" i="10"/>
  <c r="N16" i="9" l="1"/>
  <c r="N3" i="3" l="1"/>
  <c r="N38" i="4" l="1"/>
  <c r="N34"/>
  <c r="N8" l="1"/>
  <c r="N6"/>
  <c r="N5"/>
  <c r="N4"/>
  <c r="N3"/>
  <c r="N18" i="3"/>
  <c r="N17"/>
  <c r="N14"/>
  <c r="N9"/>
  <c r="N8"/>
  <c r="N4"/>
  <c r="CX55" i="11" l="1"/>
  <c r="CX36"/>
  <c r="CX18"/>
  <c r="CW51"/>
  <c r="CW48"/>
  <c r="CW47"/>
  <c r="CW46"/>
  <c r="CW45"/>
  <c r="CW44"/>
  <c r="CW43"/>
  <c r="CW42"/>
  <c r="CW41"/>
  <c r="CW33"/>
  <c r="CW30"/>
  <c r="CW29"/>
  <c r="CW28"/>
  <c r="CW27"/>
  <c r="CW26"/>
  <c r="CW25"/>
  <c r="CW24"/>
  <c r="CW23"/>
  <c r="CW15"/>
  <c r="CW12"/>
  <c r="CW11"/>
  <c r="CW10"/>
  <c r="CW9"/>
  <c r="CW8"/>
  <c r="CW7"/>
  <c r="CW6"/>
  <c r="CW5"/>
  <c r="CT51" l="1"/>
  <c r="CT50"/>
  <c r="CT49"/>
  <c r="CT48"/>
  <c r="CT47"/>
  <c r="CT46"/>
  <c r="CT45"/>
  <c r="CT44"/>
  <c r="CT43"/>
  <c r="CT42"/>
  <c r="CT41"/>
  <c r="CT33"/>
  <c r="CT32"/>
  <c r="CT31"/>
  <c r="CT30"/>
  <c r="CT29"/>
  <c r="CT28"/>
  <c r="CT27"/>
  <c r="CT26"/>
  <c r="CT25"/>
  <c r="CT24"/>
  <c r="CT23"/>
  <c r="CT15"/>
  <c r="CT14"/>
  <c r="CT13"/>
  <c r="CT12"/>
  <c r="CT11"/>
  <c r="CT10"/>
  <c r="CT9"/>
  <c r="CT8"/>
  <c r="CT7"/>
  <c r="CT6"/>
  <c r="CT5"/>
  <c r="BA25" i="10"/>
  <c r="M16" i="9" l="1"/>
  <c r="M8"/>
  <c r="N8"/>
  <c r="M7"/>
  <c r="M5"/>
  <c r="N5"/>
  <c r="M3" i="3" l="1"/>
  <c r="M71" i="4" l="1"/>
  <c r="M34"/>
  <c r="M38" l="1"/>
  <c r="M6" l="1"/>
  <c r="M5"/>
  <c r="M4"/>
  <c r="M3"/>
  <c r="M18" i="3"/>
  <c r="M17"/>
  <c r="M14"/>
  <c r="M9"/>
  <c r="M8"/>
  <c r="CN42" i="11" l="1"/>
  <c r="CN41"/>
  <c r="CN24"/>
  <c r="CN23"/>
  <c r="CN6"/>
  <c r="CN5"/>
  <c r="L34" i="4"/>
  <c r="CN51" i="11" l="1"/>
  <c r="CN48"/>
  <c r="CN47"/>
  <c r="CN46"/>
  <c r="CN45"/>
  <c r="CN44"/>
  <c r="CN43"/>
  <c r="CN33"/>
  <c r="CN30"/>
  <c r="CN29"/>
  <c r="CN28"/>
  <c r="CN27"/>
  <c r="CN26"/>
  <c r="CN25"/>
  <c r="CN15"/>
  <c r="CN12"/>
  <c r="CN11"/>
  <c r="CN10"/>
  <c r="CN9"/>
  <c r="CN8"/>
  <c r="CN7"/>
  <c r="CK51"/>
  <c r="CK50"/>
  <c r="CK49"/>
  <c r="CK48"/>
  <c r="CK47"/>
  <c r="CK46"/>
  <c r="CK45"/>
  <c r="CK44"/>
  <c r="CK43"/>
  <c r="CK42"/>
  <c r="CK41"/>
  <c r="CK33"/>
  <c r="CK32"/>
  <c r="CK31"/>
  <c r="CK30"/>
  <c r="CK29"/>
  <c r="CK28"/>
  <c r="CK27"/>
  <c r="CK26"/>
  <c r="CK25"/>
  <c r="CK24"/>
  <c r="CK23"/>
  <c r="CK15"/>
  <c r="CK14"/>
  <c r="CK10"/>
  <c r="CK13"/>
  <c r="CK12"/>
  <c r="CK11"/>
  <c r="CK9"/>
  <c r="CK8"/>
  <c r="CK7"/>
  <c r="CK6"/>
  <c r="CK5"/>
  <c r="L16" i="9"/>
  <c r="L38" i="4" l="1"/>
  <c r="L3" i="3" l="1"/>
  <c r="L6" i="4" l="1"/>
  <c r="L5"/>
  <c r="L4"/>
  <c r="L3"/>
  <c r="L18" i="3"/>
  <c r="L17"/>
  <c r="L8"/>
  <c r="L14"/>
  <c r="L9"/>
  <c r="C114" i="13" l="1"/>
  <c r="C113"/>
  <c r="C112"/>
  <c r="J50" s="1"/>
  <c r="N96"/>
  <c r="I96"/>
  <c r="F96"/>
  <c r="K95"/>
  <c r="I93"/>
  <c r="L90"/>
  <c r="H90"/>
  <c r="G90"/>
  <c r="E90"/>
  <c r="D90"/>
  <c r="N88"/>
  <c r="N97" s="1"/>
  <c r="S87"/>
  <c r="N87"/>
  <c r="M87"/>
  <c r="M96" s="1"/>
  <c r="L87"/>
  <c r="L96" s="1"/>
  <c r="K87"/>
  <c r="K96" s="1"/>
  <c r="J87"/>
  <c r="R87" s="1"/>
  <c r="R96" s="1"/>
  <c r="I87"/>
  <c r="H87"/>
  <c r="H96" s="1"/>
  <c r="G87"/>
  <c r="F87"/>
  <c r="E87"/>
  <c r="E96" s="1"/>
  <c r="D87"/>
  <c r="D96" s="1"/>
  <c r="C87"/>
  <c r="C96" s="1"/>
  <c r="S86"/>
  <c r="N86"/>
  <c r="N95" s="1"/>
  <c r="M86"/>
  <c r="M88" s="1"/>
  <c r="M97" s="1"/>
  <c r="L86"/>
  <c r="K86"/>
  <c r="K88" s="1"/>
  <c r="K97" s="1"/>
  <c r="H86"/>
  <c r="C86"/>
  <c r="C95" s="1"/>
  <c r="N84"/>
  <c r="N93" s="1"/>
  <c r="M84"/>
  <c r="M93" s="1"/>
  <c r="J84"/>
  <c r="J93" s="1"/>
  <c r="G84"/>
  <c r="G93" s="1"/>
  <c r="F84"/>
  <c r="E84"/>
  <c r="E93" s="1"/>
  <c r="C84"/>
  <c r="O81"/>
  <c r="N81"/>
  <c r="N90" s="1"/>
  <c r="M81"/>
  <c r="M90" s="1"/>
  <c r="L81"/>
  <c r="K81"/>
  <c r="K90" s="1"/>
  <c r="J81"/>
  <c r="J90" s="1"/>
  <c r="I81"/>
  <c r="I90" s="1"/>
  <c r="H81"/>
  <c r="G81"/>
  <c r="F81"/>
  <c r="F90" s="1"/>
  <c r="E81"/>
  <c r="D81"/>
  <c r="C81"/>
  <c r="C90" s="1"/>
  <c r="C80"/>
  <c r="C82" s="1"/>
  <c r="C91" s="1"/>
  <c r="Q78"/>
  <c r="N78"/>
  <c r="M78"/>
  <c r="L78"/>
  <c r="L84" s="1"/>
  <c r="K78"/>
  <c r="K84" s="1"/>
  <c r="K93" s="1"/>
  <c r="J78"/>
  <c r="I78"/>
  <c r="I84" s="1"/>
  <c r="H78"/>
  <c r="H84" s="1"/>
  <c r="H93" s="1"/>
  <c r="G78"/>
  <c r="F78"/>
  <c r="E78"/>
  <c r="D78"/>
  <c r="D84" s="1"/>
  <c r="D93" s="1"/>
  <c r="C78"/>
  <c r="N77"/>
  <c r="M77"/>
  <c r="L77"/>
  <c r="C77"/>
  <c r="C83" s="1"/>
  <c r="C92" s="1"/>
  <c r="N76"/>
  <c r="M76"/>
  <c r="L76"/>
  <c r="K76"/>
  <c r="J76"/>
  <c r="I76"/>
  <c r="H76"/>
  <c r="G76"/>
  <c r="F76"/>
  <c r="E76"/>
  <c r="D76"/>
  <c r="C76"/>
  <c r="P72"/>
  <c r="N72"/>
  <c r="M72"/>
  <c r="M80" s="1"/>
  <c r="M82" s="1"/>
  <c r="M91" s="1"/>
  <c r="L72"/>
  <c r="L80" s="1"/>
  <c r="L89" s="1"/>
  <c r="R72"/>
  <c r="S71"/>
  <c r="R71"/>
  <c r="Q71"/>
  <c r="O71"/>
  <c r="P71"/>
  <c r="S70"/>
  <c r="R70"/>
  <c r="Q70"/>
  <c r="P70"/>
  <c r="O70"/>
  <c r="S69"/>
  <c r="R69"/>
  <c r="Q69"/>
  <c r="P69"/>
  <c r="O69"/>
  <c r="E67"/>
  <c r="D67"/>
  <c r="C67"/>
  <c r="I62"/>
  <c r="C59"/>
  <c r="C65" s="1"/>
  <c r="N58"/>
  <c r="N60" s="1"/>
  <c r="L56"/>
  <c r="L62" s="1"/>
  <c r="M55"/>
  <c r="M61" s="1"/>
  <c r="S54"/>
  <c r="P53"/>
  <c r="N53"/>
  <c r="M53"/>
  <c r="L53"/>
  <c r="S53" s="1"/>
  <c r="K53"/>
  <c r="J53"/>
  <c r="R53" s="1"/>
  <c r="I53"/>
  <c r="H53"/>
  <c r="Q53" s="1"/>
  <c r="G53"/>
  <c r="F53"/>
  <c r="E53"/>
  <c r="D53"/>
  <c r="C53"/>
  <c r="O53" s="1"/>
  <c r="N52"/>
  <c r="M52"/>
  <c r="L52"/>
  <c r="S52" s="1"/>
  <c r="H52"/>
  <c r="C52"/>
  <c r="N51"/>
  <c r="P50"/>
  <c r="P59" s="1"/>
  <c r="P65" s="1"/>
  <c r="N50"/>
  <c r="M50"/>
  <c r="M56" s="1"/>
  <c r="M62" s="1"/>
  <c r="L50"/>
  <c r="S50" s="1"/>
  <c r="S59" s="1"/>
  <c r="K50"/>
  <c r="K59" s="1"/>
  <c r="K65" s="1"/>
  <c r="I50"/>
  <c r="H50"/>
  <c r="G50"/>
  <c r="F50"/>
  <c r="E50"/>
  <c r="E59" s="1"/>
  <c r="E65" s="1"/>
  <c r="D50"/>
  <c r="O50" s="1"/>
  <c r="C50"/>
  <c r="N49"/>
  <c r="M49"/>
  <c r="L49"/>
  <c r="I49"/>
  <c r="C49"/>
  <c r="Q47"/>
  <c r="P47"/>
  <c r="N47"/>
  <c r="N59" s="1"/>
  <c r="N65" s="1"/>
  <c r="M47"/>
  <c r="L47"/>
  <c r="S47" s="1"/>
  <c r="K47"/>
  <c r="J47"/>
  <c r="J59" s="1"/>
  <c r="J65" s="1"/>
  <c r="I47"/>
  <c r="R47" s="1"/>
  <c r="H47"/>
  <c r="H59" s="1"/>
  <c r="H65" s="1"/>
  <c r="G47"/>
  <c r="F47"/>
  <c r="E47"/>
  <c r="D47"/>
  <c r="C47"/>
  <c r="S46"/>
  <c r="N46"/>
  <c r="M46"/>
  <c r="M58" s="1"/>
  <c r="L46"/>
  <c r="L58" s="1"/>
  <c r="L64" s="1"/>
  <c r="K46"/>
  <c r="J46"/>
  <c r="I46"/>
  <c r="I58" s="1"/>
  <c r="I64" s="1"/>
  <c r="H46"/>
  <c r="G46"/>
  <c r="F46"/>
  <c r="E46"/>
  <c r="D46"/>
  <c r="C46"/>
  <c r="P46" s="1"/>
  <c r="N44"/>
  <c r="N56" s="1"/>
  <c r="N62" s="1"/>
  <c r="M44"/>
  <c r="L44"/>
  <c r="K44"/>
  <c r="K56" s="1"/>
  <c r="K62" s="1"/>
  <c r="J44"/>
  <c r="I44"/>
  <c r="I56" s="1"/>
  <c r="H44"/>
  <c r="H56" s="1"/>
  <c r="H62" s="1"/>
  <c r="G44"/>
  <c r="F44"/>
  <c r="Q44" s="1"/>
  <c r="E44"/>
  <c r="E56" s="1"/>
  <c r="E62" s="1"/>
  <c r="D44"/>
  <c r="D56" s="1"/>
  <c r="D62" s="1"/>
  <c r="C44"/>
  <c r="S43"/>
  <c r="N43"/>
  <c r="N55" s="1"/>
  <c r="N61" s="1"/>
  <c r="M43"/>
  <c r="L43"/>
  <c r="L55" s="1"/>
  <c r="L61" s="1"/>
  <c r="C43"/>
  <c r="C55" s="1"/>
  <c r="C61" s="1"/>
  <c r="S40"/>
  <c r="N40"/>
  <c r="M40"/>
  <c r="M51" s="1"/>
  <c r="L40"/>
  <c r="L51" s="1"/>
  <c r="S51" s="1"/>
  <c r="K40"/>
  <c r="K51" s="1"/>
  <c r="I40"/>
  <c r="I51" s="1"/>
  <c r="E40"/>
  <c r="E51" s="1"/>
  <c r="D40"/>
  <c r="D51" s="1"/>
  <c r="C40"/>
  <c r="C51" s="1"/>
  <c r="S39"/>
  <c r="R39"/>
  <c r="Q39"/>
  <c r="P39"/>
  <c r="O39"/>
  <c r="S38"/>
  <c r="K49"/>
  <c r="I86"/>
  <c r="H49"/>
  <c r="G86"/>
  <c r="E86"/>
  <c r="S36"/>
  <c r="S37" s="1"/>
  <c r="N36"/>
  <c r="N54" s="1"/>
  <c r="M36"/>
  <c r="M54" s="1"/>
  <c r="L36"/>
  <c r="L54" s="1"/>
  <c r="K36"/>
  <c r="K54" s="1"/>
  <c r="E36"/>
  <c r="E54" s="1"/>
  <c r="D36"/>
  <c r="D54" s="1"/>
  <c r="C36"/>
  <c r="C54" s="1"/>
  <c r="S35"/>
  <c r="R35"/>
  <c r="Q35"/>
  <c r="P35"/>
  <c r="O35"/>
  <c r="S34"/>
  <c r="K34"/>
  <c r="K52" s="1"/>
  <c r="J34"/>
  <c r="J36" s="1"/>
  <c r="J54" s="1"/>
  <c r="I34"/>
  <c r="I52" s="1"/>
  <c r="H34"/>
  <c r="H36" s="1"/>
  <c r="H54" s="1"/>
  <c r="G34"/>
  <c r="G52" s="1"/>
  <c r="F34"/>
  <c r="E34"/>
  <c r="E52" s="1"/>
  <c r="D34"/>
  <c r="S33"/>
  <c r="R33"/>
  <c r="Q33"/>
  <c r="P33"/>
  <c r="O33"/>
  <c r="S32"/>
  <c r="R32"/>
  <c r="Q32"/>
  <c r="P32"/>
  <c r="O32"/>
  <c r="S31"/>
  <c r="R31"/>
  <c r="Q31"/>
  <c r="P31"/>
  <c r="O31"/>
  <c r="S30"/>
  <c r="R30"/>
  <c r="Q30"/>
  <c r="P30"/>
  <c r="O30"/>
  <c r="S29"/>
  <c r="R29"/>
  <c r="Q29"/>
  <c r="P29"/>
  <c r="O29"/>
  <c r="S28"/>
  <c r="R28"/>
  <c r="Q28"/>
  <c r="P28"/>
  <c r="O28"/>
  <c r="S27"/>
  <c r="R27"/>
  <c r="Q27"/>
  <c r="P27"/>
  <c r="O27"/>
  <c r="S26"/>
  <c r="R26"/>
  <c r="Q26"/>
  <c r="P26"/>
  <c r="O26"/>
  <c r="N25"/>
  <c r="M25"/>
  <c r="M79" s="1"/>
  <c r="L25"/>
  <c r="K25"/>
  <c r="K48" s="1"/>
  <c r="J25"/>
  <c r="J48" s="1"/>
  <c r="I25"/>
  <c r="I48" s="1"/>
  <c r="H25"/>
  <c r="H48" s="1"/>
  <c r="G25"/>
  <c r="F25"/>
  <c r="Q25" s="1"/>
  <c r="E25"/>
  <c r="E48" s="1"/>
  <c r="D25"/>
  <c r="C25"/>
  <c r="C48" s="1"/>
  <c r="S24"/>
  <c r="S78" s="1"/>
  <c r="R24"/>
  <c r="R78" s="1"/>
  <c r="Q24"/>
  <c r="P24"/>
  <c r="P78" s="1"/>
  <c r="O24"/>
  <c r="O78" s="1"/>
  <c r="S23"/>
  <c r="S77" s="1"/>
  <c r="R23"/>
  <c r="Q23"/>
  <c r="P23"/>
  <c r="O23"/>
  <c r="S16"/>
  <c r="Q16"/>
  <c r="O16"/>
  <c r="N16"/>
  <c r="N17" s="1"/>
  <c r="M16"/>
  <c r="L16"/>
  <c r="K16"/>
  <c r="J16"/>
  <c r="I16"/>
  <c r="H16"/>
  <c r="G16"/>
  <c r="F16"/>
  <c r="E16"/>
  <c r="D16"/>
  <c r="C16"/>
  <c r="O15"/>
  <c r="N15"/>
  <c r="M15"/>
  <c r="M17" s="1"/>
  <c r="L15"/>
  <c r="L17" s="1"/>
  <c r="E15"/>
  <c r="E17" s="1"/>
  <c r="C15"/>
  <c r="C17" s="1"/>
  <c r="T14"/>
  <c r="O14"/>
  <c r="N14"/>
  <c r="M14"/>
  <c r="L14"/>
  <c r="D14"/>
  <c r="C14"/>
  <c r="O13"/>
  <c r="N13"/>
  <c r="M13"/>
  <c r="L13"/>
  <c r="K13"/>
  <c r="J13"/>
  <c r="H13"/>
  <c r="G13"/>
  <c r="E13"/>
  <c r="C13"/>
  <c r="O12"/>
  <c r="N12"/>
  <c r="M12"/>
  <c r="L12"/>
  <c r="H12"/>
  <c r="C12"/>
  <c r="O11"/>
  <c r="N11"/>
  <c r="M11"/>
  <c r="M45" s="1"/>
  <c r="M57" s="1"/>
  <c r="L11"/>
  <c r="L45" s="1"/>
  <c r="J11"/>
  <c r="I11"/>
  <c r="E11"/>
  <c r="E45" s="1"/>
  <c r="E57" s="1"/>
  <c r="E63" s="1"/>
  <c r="D11"/>
  <c r="C11"/>
  <c r="S10"/>
  <c r="R10"/>
  <c r="Q10"/>
  <c r="P10"/>
  <c r="S9"/>
  <c r="R9"/>
  <c r="Q9"/>
  <c r="P9"/>
  <c r="S8"/>
  <c r="R8"/>
  <c r="Q8"/>
  <c r="P8"/>
  <c r="S7"/>
  <c r="R7"/>
  <c r="Q7"/>
  <c r="Q81" s="1"/>
  <c r="Q90" s="1"/>
  <c r="P7"/>
  <c r="S6"/>
  <c r="S14" s="1"/>
  <c r="P6"/>
  <c r="K6"/>
  <c r="K14" s="1"/>
  <c r="J6"/>
  <c r="J14" s="1"/>
  <c r="I6"/>
  <c r="I14" s="1"/>
  <c r="H6"/>
  <c r="H14" s="1"/>
  <c r="G6"/>
  <c r="G14" s="1"/>
  <c r="F6"/>
  <c r="Q6" s="1"/>
  <c r="Q14" s="1"/>
  <c r="E6"/>
  <c r="E14" s="1"/>
  <c r="S5"/>
  <c r="S13" s="1"/>
  <c r="Q5"/>
  <c r="Q13" s="1"/>
  <c r="P5"/>
  <c r="P13" s="1"/>
  <c r="J5"/>
  <c r="I5"/>
  <c r="H5"/>
  <c r="F5"/>
  <c r="F13" s="1"/>
  <c r="E5"/>
  <c r="E43" s="1"/>
  <c r="D5"/>
  <c r="D13" s="1"/>
  <c r="S4"/>
  <c r="S12" s="1"/>
  <c r="R4"/>
  <c r="R12" s="1"/>
  <c r="K4"/>
  <c r="K12" s="1"/>
  <c r="J4"/>
  <c r="J12" s="1"/>
  <c r="I4"/>
  <c r="I77" s="1"/>
  <c r="I83" s="1"/>
  <c r="H4"/>
  <c r="G4"/>
  <c r="G12" s="1"/>
  <c r="F4"/>
  <c r="Q4" s="1"/>
  <c r="Q12" s="1"/>
  <c r="E4"/>
  <c r="E12" s="1"/>
  <c r="D4"/>
  <c r="D12" s="1"/>
  <c r="S3"/>
  <c r="J15"/>
  <c r="J17" s="1"/>
  <c r="G77"/>
  <c r="G83" s="1"/>
  <c r="M89" l="1"/>
  <c r="L83"/>
  <c r="L92" s="1"/>
  <c r="S72"/>
  <c r="S80" s="1"/>
  <c r="K58"/>
  <c r="K64" s="1"/>
  <c r="H58"/>
  <c r="H64" s="1"/>
  <c r="R48"/>
  <c r="R46"/>
  <c r="O25"/>
  <c r="C79"/>
  <c r="I92"/>
  <c r="I85"/>
  <c r="O59"/>
  <c r="P54"/>
  <c r="J79"/>
  <c r="J22"/>
  <c r="L57"/>
  <c r="R81"/>
  <c r="R90" s="1"/>
  <c r="R16"/>
  <c r="H77"/>
  <c r="H83" s="1"/>
  <c r="H80"/>
  <c r="H43"/>
  <c r="H55" s="1"/>
  <c r="H61" s="1"/>
  <c r="H11"/>
  <c r="D15"/>
  <c r="D17" s="1"/>
  <c r="L22"/>
  <c r="J56"/>
  <c r="J62" s="1"/>
  <c r="R44"/>
  <c r="K80"/>
  <c r="K77"/>
  <c r="K83" s="1"/>
  <c r="K11"/>
  <c r="K79" s="1"/>
  <c r="K15"/>
  <c r="K17" s="1"/>
  <c r="G40"/>
  <c r="G51" s="1"/>
  <c r="O44"/>
  <c r="O56" s="1"/>
  <c r="M60"/>
  <c r="M64"/>
  <c r="N64"/>
  <c r="F80"/>
  <c r="Q3"/>
  <c r="P81"/>
  <c r="P90" s="1"/>
  <c r="C22"/>
  <c r="N22"/>
  <c r="I12"/>
  <c r="I79" s="1"/>
  <c r="F14"/>
  <c r="F48"/>
  <c r="N79"/>
  <c r="N48"/>
  <c r="G36"/>
  <c r="G54" s="1"/>
  <c r="I95"/>
  <c r="I88"/>
  <c r="P41"/>
  <c r="I43"/>
  <c r="G59"/>
  <c r="G65" s="1"/>
  <c r="O47"/>
  <c r="J52"/>
  <c r="L93"/>
  <c r="L85"/>
  <c r="G80"/>
  <c r="O17"/>
  <c r="O22" s="1"/>
  <c r="P14"/>
  <c r="J43"/>
  <c r="J80"/>
  <c r="R6"/>
  <c r="R14" s="1"/>
  <c r="F12"/>
  <c r="G15"/>
  <c r="G17" s="1"/>
  <c r="L48"/>
  <c r="S48" s="1"/>
  <c r="S60" s="1"/>
  <c r="L79"/>
  <c r="S25"/>
  <c r="S79" s="1"/>
  <c r="F52"/>
  <c r="Q52" s="1"/>
  <c r="F36"/>
  <c r="F54" s="1"/>
  <c r="Q54" s="1"/>
  <c r="R34"/>
  <c r="R36" s="1"/>
  <c r="S55"/>
  <c r="H15"/>
  <c r="H17" s="1"/>
  <c r="M22"/>
  <c r="G43"/>
  <c r="G55" s="1"/>
  <c r="G61" s="1"/>
  <c r="E80"/>
  <c r="P3"/>
  <c r="E77"/>
  <c r="E83" s="1"/>
  <c r="S11"/>
  <c r="S15"/>
  <c r="R5"/>
  <c r="R13" s="1"/>
  <c r="I13"/>
  <c r="D45"/>
  <c r="D57" s="1"/>
  <c r="D63" s="1"/>
  <c r="D22"/>
  <c r="R52"/>
  <c r="I36"/>
  <c r="I54" s="1"/>
  <c r="R54" s="1"/>
  <c r="J49"/>
  <c r="J58" s="1"/>
  <c r="J86"/>
  <c r="R86" s="1"/>
  <c r="R95" s="1"/>
  <c r="J40"/>
  <c r="J51" s="1"/>
  <c r="R51" s="1"/>
  <c r="K43"/>
  <c r="K55" s="1"/>
  <c r="K61" s="1"/>
  <c r="Q46"/>
  <c r="C56"/>
  <c r="C62" s="1"/>
  <c r="D59"/>
  <c r="D65" s="1"/>
  <c r="D80"/>
  <c r="D43"/>
  <c r="D77"/>
  <c r="D83" s="1"/>
  <c r="P4"/>
  <c r="P12" s="1"/>
  <c r="E22"/>
  <c r="F56"/>
  <c r="F62" s="1"/>
  <c r="I59"/>
  <c r="O72"/>
  <c r="O80" s="1"/>
  <c r="R25"/>
  <c r="D86"/>
  <c r="P38"/>
  <c r="P40" s="1"/>
  <c r="O38"/>
  <c r="O40" s="1"/>
  <c r="S41"/>
  <c r="S42" s="1"/>
  <c r="G56"/>
  <c r="G62" s="1"/>
  <c r="P44"/>
  <c r="P56" s="1"/>
  <c r="P62" s="1"/>
  <c r="D49"/>
  <c r="M59"/>
  <c r="M65" s="1"/>
  <c r="J77"/>
  <c r="J83" s="1"/>
  <c r="Q87"/>
  <c r="Q96" s="1"/>
  <c r="G96"/>
  <c r="O87"/>
  <c r="D52"/>
  <c r="P34"/>
  <c r="P36" s="1"/>
  <c r="P37" s="1"/>
  <c r="O34"/>
  <c r="O36" s="1"/>
  <c r="O37" s="1"/>
  <c r="Q38"/>
  <c r="Q40" s="1"/>
  <c r="P51"/>
  <c r="S44"/>
  <c r="S56" s="1"/>
  <c r="G49"/>
  <c r="G58" s="1"/>
  <c r="R84"/>
  <c r="R93" s="1"/>
  <c r="G85"/>
  <c r="G94" s="1"/>
  <c r="G92"/>
  <c r="P48"/>
  <c r="Q34"/>
  <c r="Q36" s="1"/>
  <c r="Q37" s="1"/>
  <c r="F86"/>
  <c r="F49"/>
  <c r="F40"/>
  <c r="F51" s="1"/>
  <c r="R38"/>
  <c r="R40" s="1"/>
  <c r="C45"/>
  <c r="O46"/>
  <c r="C58"/>
  <c r="G48"/>
  <c r="R49"/>
  <c r="Q50"/>
  <c r="Q59" s="1"/>
  <c r="Q65" s="1"/>
  <c r="P84"/>
  <c r="P93" s="1"/>
  <c r="O84"/>
  <c r="C93"/>
  <c r="S84"/>
  <c r="G11"/>
  <c r="I15"/>
  <c r="I17" s="1"/>
  <c r="J45"/>
  <c r="D48"/>
  <c r="D79"/>
  <c r="P25"/>
  <c r="G88"/>
  <c r="G97" s="1"/>
  <c r="G95"/>
  <c r="O52"/>
  <c r="P52"/>
  <c r="H60"/>
  <c r="H66" s="1"/>
  <c r="F77"/>
  <c r="F83" s="1"/>
  <c r="R3"/>
  <c r="E79"/>
  <c r="E88"/>
  <c r="E97" s="1"/>
  <c r="E95"/>
  <c r="S49"/>
  <c r="S58" s="1"/>
  <c r="L59"/>
  <c r="L65" s="1"/>
  <c r="Q72"/>
  <c r="C85"/>
  <c r="L88"/>
  <c r="L95"/>
  <c r="J96"/>
  <c r="F15"/>
  <c r="F17" s="1"/>
  <c r="M48"/>
  <c r="E49"/>
  <c r="E58" s="1"/>
  <c r="I80"/>
  <c r="Q84"/>
  <c r="Q93" s="1"/>
  <c r="F93"/>
  <c r="C88"/>
  <c r="P86"/>
  <c r="P95" s="1"/>
  <c r="P87"/>
  <c r="P96" s="1"/>
  <c r="N45"/>
  <c r="N57" s="1"/>
  <c r="R50"/>
  <c r="R59" s="1"/>
  <c r="R65" s="1"/>
  <c r="M83"/>
  <c r="L82"/>
  <c r="M98"/>
  <c r="H88"/>
  <c r="H97" s="1"/>
  <c r="H95"/>
  <c r="N80"/>
  <c r="S81"/>
  <c r="F11"/>
  <c r="F79" s="1"/>
  <c r="P16"/>
  <c r="H40"/>
  <c r="H51" s="1"/>
  <c r="O51" s="1"/>
  <c r="F43"/>
  <c r="F59"/>
  <c r="F65" s="1"/>
  <c r="N83"/>
  <c r="C89"/>
  <c r="M95"/>
  <c r="CF55" i="11"/>
  <c r="CF36"/>
  <c r="CF18"/>
  <c r="CE51"/>
  <c r="CE49"/>
  <c r="CE48"/>
  <c r="CE47"/>
  <c r="CE46"/>
  <c r="CE45"/>
  <c r="CE44"/>
  <c r="CE43"/>
  <c r="CE42"/>
  <c r="CE41"/>
  <c r="CE33"/>
  <c r="CE31"/>
  <c r="CE30"/>
  <c r="CE29"/>
  <c r="CE28"/>
  <c r="CE27"/>
  <c r="CE26"/>
  <c r="CE25"/>
  <c r="CE24"/>
  <c r="CE23"/>
  <c r="CE13"/>
  <c r="CE15"/>
  <c r="CE12"/>
  <c r="CE11"/>
  <c r="CE10"/>
  <c r="CE9"/>
  <c r="CE8"/>
  <c r="CE7"/>
  <c r="CE6"/>
  <c r="CE5"/>
  <c r="K60" i="13" l="1"/>
  <c r="K66" s="1"/>
  <c r="J57"/>
  <c r="J63" s="1"/>
  <c r="E55"/>
  <c r="E61" s="1"/>
  <c r="R58"/>
  <c r="R64" s="1"/>
  <c r="P60"/>
  <c r="P66" s="1"/>
  <c r="R60"/>
  <c r="R66" s="1"/>
  <c r="O48"/>
  <c r="O60" s="1"/>
  <c r="P83"/>
  <c r="P92" s="1"/>
  <c r="P77"/>
  <c r="E60"/>
  <c r="E66" s="1"/>
  <c r="E64"/>
  <c r="J64"/>
  <c r="J60"/>
  <c r="J66" s="1"/>
  <c r="K85"/>
  <c r="K94" s="1"/>
  <c r="K92"/>
  <c r="M92"/>
  <c r="M85"/>
  <c r="S88"/>
  <c r="I65"/>
  <c r="I60"/>
  <c r="I66" s="1"/>
  <c r="D89"/>
  <c r="D82"/>
  <c r="S17"/>
  <c r="S22" s="1"/>
  <c r="I97"/>
  <c r="R88"/>
  <c r="R97" s="1"/>
  <c r="K82"/>
  <c r="K91" s="1"/>
  <c r="K98" s="1"/>
  <c r="K89"/>
  <c r="G45"/>
  <c r="G57" s="1"/>
  <c r="G63" s="1"/>
  <c r="G22"/>
  <c r="O42"/>
  <c r="O41"/>
  <c r="H82"/>
  <c r="H91" s="1"/>
  <c r="H98" s="1"/>
  <c r="H89"/>
  <c r="C94"/>
  <c r="R80"/>
  <c r="R89" s="1"/>
  <c r="R15"/>
  <c r="R11"/>
  <c r="Q77"/>
  <c r="Q41"/>
  <c r="Q42" s="1"/>
  <c r="P42"/>
  <c r="Q56"/>
  <c r="Q62" s="1"/>
  <c r="G79"/>
  <c r="E85"/>
  <c r="E94" s="1"/>
  <c r="E92"/>
  <c r="R37"/>
  <c r="L60"/>
  <c r="I45"/>
  <c r="H85"/>
  <c r="H94" s="1"/>
  <c r="H92"/>
  <c r="O54"/>
  <c r="I94"/>
  <c r="N85"/>
  <c r="N92"/>
  <c r="F22"/>
  <c r="F45"/>
  <c r="S83"/>
  <c r="P45"/>
  <c r="P57" s="1"/>
  <c r="P63" s="1"/>
  <c r="C57"/>
  <c r="C63" s="1"/>
  <c r="J85"/>
  <c r="J94" s="1"/>
  <c r="J92"/>
  <c r="D88"/>
  <c r="D97" s="1"/>
  <c r="D95"/>
  <c r="P80"/>
  <c r="P89" s="1"/>
  <c r="P11"/>
  <c r="P15"/>
  <c r="J82"/>
  <c r="J91" s="1"/>
  <c r="J98" s="1"/>
  <c r="J89"/>
  <c r="R56"/>
  <c r="R62" s="1"/>
  <c r="R83"/>
  <c r="R92" s="1"/>
  <c r="G89"/>
  <c r="G82"/>
  <c r="G91" s="1"/>
  <c r="G98" s="1"/>
  <c r="H99" s="1"/>
  <c r="H45"/>
  <c r="H57" s="1"/>
  <c r="H63" s="1"/>
  <c r="H22"/>
  <c r="H79"/>
  <c r="C60"/>
  <c r="C66" s="1"/>
  <c r="C64"/>
  <c r="Q83"/>
  <c r="Q92" s="1"/>
  <c r="F85"/>
  <c r="F92"/>
  <c r="P79"/>
  <c r="R79"/>
  <c r="E89"/>
  <c r="E82"/>
  <c r="E91" s="1"/>
  <c r="E98" s="1"/>
  <c r="J55"/>
  <c r="J61" s="1"/>
  <c r="I22"/>
  <c r="D55"/>
  <c r="D61" s="1"/>
  <c r="P43"/>
  <c r="I82"/>
  <c r="I89"/>
  <c r="N82"/>
  <c r="N91" s="1"/>
  <c r="N98" s="1"/>
  <c r="N89"/>
  <c r="O43"/>
  <c r="C97"/>
  <c r="C98" s="1"/>
  <c r="Q51"/>
  <c r="P49"/>
  <c r="P58" s="1"/>
  <c r="P64" s="1"/>
  <c r="O49"/>
  <c r="O58" s="1"/>
  <c r="D58"/>
  <c r="Q15"/>
  <c r="Q80"/>
  <c r="Q89" s="1"/>
  <c r="Q11"/>
  <c r="S45"/>
  <c r="S57" s="1"/>
  <c r="F95"/>
  <c r="F88"/>
  <c r="Q86"/>
  <c r="Q95" s="1"/>
  <c r="R77"/>
  <c r="G60"/>
  <c r="G66" s="1"/>
  <c r="G64"/>
  <c r="F55"/>
  <c r="F61" s="1"/>
  <c r="Q43"/>
  <c r="O86"/>
  <c r="F58"/>
  <c r="Q49"/>
  <c r="Q58" s="1"/>
  <c r="Q64" s="1"/>
  <c r="O77"/>
  <c r="D92"/>
  <c r="O83"/>
  <c r="D85"/>
  <c r="D94" s="1"/>
  <c r="J95"/>
  <c r="J88"/>
  <c r="J97" s="1"/>
  <c r="R43"/>
  <c r="R55" s="1"/>
  <c r="R61" s="1"/>
  <c r="I55"/>
  <c r="I61" s="1"/>
  <c r="Q48"/>
  <c r="F82"/>
  <c r="F89"/>
  <c r="K22"/>
  <c r="K45"/>
  <c r="K57" s="1"/>
  <c r="K63" s="1"/>
  <c r="R41"/>
  <c r="R42" s="1"/>
  <c r="CB51" i="11"/>
  <c r="CB50"/>
  <c r="CB49"/>
  <c r="CB48"/>
  <c r="CB47"/>
  <c r="CB46"/>
  <c r="CB45"/>
  <c r="CB44"/>
  <c r="CB43"/>
  <c r="CB42"/>
  <c r="CB41"/>
  <c r="CB33"/>
  <c r="CB32"/>
  <c r="CB31"/>
  <c r="CB30"/>
  <c r="CB29"/>
  <c r="CB28"/>
  <c r="CB27"/>
  <c r="CB26"/>
  <c r="CB25"/>
  <c r="CB24"/>
  <c r="CB23"/>
  <c r="CB15"/>
  <c r="CB14"/>
  <c r="CB13"/>
  <c r="CB12"/>
  <c r="CB11"/>
  <c r="CB10"/>
  <c r="CB9"/>
  <c r="CB8"/>
  <c r="CB7"/>
  <c r="CB6"/>
  <c r="CB5"/>
  <c r="P88" i="13" l="1"/>
  <c r="P97" s="1"/>
  <c r="O45"/>
  <c r="O79"/>
  <c r="O85"/>
  <c r="F60"/>
  <c r="F66" s="1"/>
  <c r="F64"/>
  <c r="F97"/>
  <c r="Q88"/>
  <c r="Q97" s="1"/>
  <c r="D64"/>
  <c r="D60"/>
  <c r="D66" s="1"/>
  <c r="Q60"/>
  <c r="Q66" s="1"/>
  <c r="I91"/>
  <c r="I98" s="1"/>
  <c r="R82"/>
  <c r="R91" s="1"/>
  <c r="S82"/>
  <c r="Q55"/>
  <c r="Q61" s="1"/>
  <c r="O88"/>
  <c r="P55"/>
  <c r="P61" s="1"/>
  <c r="P17"/>
  <c r="P22" s="1"/>
  <c r="R85"/>
  <c r="R94" s="1"/>
  <c r="R17"/>
  <c r="R22" s="1"/>
  <c r="S85"/>
  <c r="F94"/>
  <c r="Q85"/>
  <c r="Q94" s="1"/>
  <c r="Q45"/>
  <c r="Q57" s="1"/>
  <c r="Q63" s="1"/>
  <c r="F57"/>
  <c r="F63" s="1"/>
  <c r="Q17"/>
  <c r="Q22"/>
  <c r="Q82"/>
  <c r="Q91" s="1"/>
  <c r="F91"/>
  <c r="O55"/>
  <c r="Q79"/>
  <c r="D91"/>
  <c r="D98" s="1"/>
  <c r="P82"/>
  <c r="P91" s="1"/>
  <c r="O82"/>
  <c r="I57"/>
  <c r="I63" s="1"/>
  <c r="R45"/>
  <c r="R57" s="1"/>
  <c r="R63" s="1"/>
  <c r="P85"/>
  <c r="P94" s="1"/>
  <c r="K38" i="4"/>
  <c r="K34"/>
  <c r="F98" i="13" l="1"/>
  <c r="O57"/>
  <c r="K3" i="4"/>
  <c r="K4"/>
  <c r="K6"/>
  <c r="K18" i="3"/>
  <c r="K17"/>
  <c r="K14"/>
  <c r="K9"/>
  <c r="K8"/>
  <c r="K3" l="1"/>
  <c r="AM7" i="10" l="1"/>
  <c r="AN8"/>
  <c r="BW55" i="11" l="1"/>
  <c r="BW36"/>
  <c r="BW18"/>
  <c r="BV51"/>
  <c r="BV49"/>
  <c r="BV48"/>
  <c r="BV47"/>
  <c r="BV46"/>
  <c r="BV45"/>
  <c r="BV44"/>
  <c r="BV43"/>
  <c r="BV42"/>
  <c r="BV41"/>
  <c r="BV33"/>
  <c r="BV31"/>
  <c r="BV30"/>
  <c r="BV29"/>
  <c r="BV28"/>
  <c r="BV27"/>
  <c r="BV26"/>
  <c r="BV25"/>
  <c r="BV24"/>
  <c r="BV23"/>
  <c r="BV15"/>
  <c r="BV13"/>
  <c r="BV12"/>
  <c r="BV11"/>
  <c r="BV10"/>
  <c r="BV9"/>
  <c r="BV8"/>
  <c r="BV7"/>
  <c r="BV6"/>
  <c r="BV5"/>
  <c r="BS51" l="1"/>
  <c r="BS50"/>
  <c r="BS49"/>
  <c r="BS48"/>
  <c r="BS47"/>
  <c r="BS46"/>
  <c r="BS45"/>
  <c r="BS44"/>
  <c r="BS43"/>
  <c r="BS42"/>
  <c r="BS41"/>
  <c r="BS33"/>
  <c r="BU33" s="1"/>
  <c r="BS32"/>
  <c r="BU32" s="1"/>
  <c r="BS31"/>
  <c r="BU31" s="1"/>
  <c r="BU30"/>
  <c r="BS30"/>
  <c r="BS29"/>
  <c r="BU29" s="1"/>
  <c r="BS28"/>
  <c r="BU28" s="1"/>
  <c r="BS27"/>
  <c r="BU27" s="1"/>
  <c r="BU26"/>
  <c r="BS26"/>
  <c r="BS25"/>
  <c r="BU25" s="1"/>
  <c r="BS24"/>
  <c r="BU24" s="1"/>
  <c r="BS23"/>
  <c r="BU23" s="1"/>
  <c r="BS15"/>
  <c r="BU15" s="1"/>
  <c r="BS14"/>
  <c r="BU14" s="1"/>
  <c r="BS13"/>
  <c r="BU13" s="1"/>
  <c r="BU12"/>
  <c r="BS12"/>
  <c r="BS11"/>
  <c r="BU11" s="1"/>
  <c r="BS10"/>
  <c r="BU10" s="1"/>
  <c r="BS9"/>
  <c r="BU9" s="1"/>
  <c r="BU8"/>
  <c r="BS8"/>
  <c r="BS7"/>
  <c r="BU7" s="1"/>
  <c r="BS6"/>
  <c r="BU6" s="1"/>
  <c r="BS5"/>
  <c r="BU5" s="1"/>
  <c r="J7" i="9"/>
  <c r="J18" i="3"/>
  <c r="K72" i="4" l="1"/>
  <c r="L72"/>
  <c r="M72"/>
  <c r="N72"/>
  <c r="J72" l="1"/>
  <c r="J38" l="1"/>
  <c r="J34" l="1"/>
  <c r="J3" l="1"/>
  <c r="J4"/>
  <c r="J5"/>
  <c r="J6"/>
  <c r="J9" i="3"/>
  <c r="J17"/>
  <c r="J14"/>
  <c r="J8"/>
  <c r="J3"/>
  <c r="BN18" i="11" l="1"/>
  <c r="BN36"/>
  <c r="BN55"/>
  <c r="BM51"/>
  <c r="BM50"/>
  <c r="BM49"/>
  <c r="BM48"/>
  <c r="BM47"/>
  <c r="BM46"/>
  <c r="BM45"/>
  <c r="BM44"/>
  <c r="BM43"/>
  <c r="BM42"/>
  <c r="BM41"/>
  <c r="BM33"/>
  <c r="BM32"/>
  <c r="BM31"/>
  <c r="BM30"/>
  <c r="BM29"/>
  <c r="BM28"/>
  <c r="BM27"/>
  <c r="BM26"/>
  <c r="BM25"/>
  <c r="BM24"/>
  <c r="BM23"/>
  <c r="BM14"/>
  <c r="BM15"/>
  <c r="BM13"/>
  <c r="BM12"/>
  <c r="BM11"/>
  <c r="BM10"/>
  <c r="BM9"/>
  <c r="BM8"/>
  <c r="BM7"/>
  <c r="BM6"/>
  <c r="BM5"/>
  <c r="BJ51" l="1"/>
  <c r="BJ50"/>
  <c r="BJ49"/>
  <c r="BJ48"/>
  <c r="BJ47"/>
  <c r="BJ46"/>
  <c r="BJ45"/>
  <c r="BJ44"/>
  <c r="BJ43"/>
  <c r="BJ42"/>
  <c r="BJ41"/>
  <c r="BJ33"/>
  <c r="BJ32"/>
  <c r="BJ31"/>
  <c r="BJ30"/>
  <c r="BJ29"/>
  <c r="BJ28"/>
  <c r="BJ27"/>
  <c r="BJ26"/>
  <c r="BJ25"/>
  <c r="BJ24"/>
  <c r="BJ23"/>
  <c r="BJ15"/>
  <c r="BJ14"/>
  <c r="BJ13"/>
  <c r="BJ12"/>
  <c r="BJ11"/>
  <c r="BJ10"/>
  <c r="BJ9"/>
  <c r="BJ8"/>
  <c r="BJ7"/>
  <c r="BJ6"/>
  <c r="BJ5"/>
  <c r="I3" i="3" l="1"/>
  <c r="I72" i="4" l="1"/>
  <c r="I38"/>
  <c r="I34"/>
  <c r="I3" l="1"/>
  <c r="I4"/>
  <c r="I5"/>
  <c r="I6"/>
  <c r="I18" i="3"/>
  <c r="I17"/>
  <c r="I14"/>
  <c r="I9"/>
  <c r="I8"/>
  <c r="AV41" i="11" l="1"/>
  <c r="BE55"/>
  <c r="H18" i="3" l="1"/>
  <c r="H3" l="1"/>
  <c r="H5" s="1"/>
  <c r="BE36" i="11" l="1"/>
  <c r="BE18"/>
  <c r="BD51"/>
  <c r="BD50"/>
  <c r="BD49"/>
  <c r="BD48"/>
  <c r="BD47"/>
  <c r="BD46"/>
  <c r="BD45"/>
  <c r="BD44"/>
  <c r="BD43"/>
  <c r="BD42"/>
  <c r="BD41"/>
  <c r="BD33"/>
  <c r="BD32"/>
  <c r="BD31"/>
  <c r="BD30"/>
  <c r="BD29"/>
  <c r="BD28"/>
  <c r="BD27"/>
  <c r="BD26"/>
  <c r="BD25"/>
  <c r="BD24"/>
  <c r="BD23"/>
  <c r="BD14"/>
  <c r="BD15"/>
  <c r="BD13"/>
  <c r="BD12"/>
  <c r="BD11"/>
  <c r="BD10"/>
  <c r="BD9"/>
  <c r="BD8"/>
  <c r="BD7"/>
  <c r="BD6"/>
  <c r="BD5"/>
  <c r="BA51"/>
  <c r="BA50"/>
  <c r="BA49"/>
  <c r="BA48"/>
  <c r="BA47"/>
  <c r="BA46"/>
  <c r="BA45"/>
  <c r="BA44"/>
  <c r="BA43"/>
  <c r="BA42"/>
  <c r="BA41"/>
  <c r="BA33"/>
  <c r="BA32"/>
  <c r="BA31"/>
  <c r="BA30"/>
  <c r="BA29"/>
  <c r="BA28"/>
  <c r="BA27"/>
  <c r="BA26"/>
  <c r="BA25"/>
  <c r="BA24"/>
  <c r="BA23"/>
  <c r="BA15"/>
  <c r="BA14"/>
  <c r="BA13"/>
  <c r="BA12"/>
  <c r="BA11"/>
  <c r="BA10"/>
  <c r="BA9"/>
  <c r="BA8"/>
  <c r="BA7"/>
  <c r="BA6"/>
  <c r="BA5"/>
  <c r="AB9" i="10"/>
  <c r="H7" i="9" l="1"/>
  <c r="H16"/>
  <c r="H72" i="4"/>
  <c r="H38"/>
  <c r="H34"/>
  <c r="H3" l="1"/>
  <c r="H4"/>
  <c r="H5"/>
  <c r="H6"/>
  <c r="H17" i="3"/>
  <c r="H8"/>
  <c r="H14"/>
  <c r="H9"/>
  <c r="F34" i="4" l="1"/>
  <c r="C114" i="12" l="1"/>
  <c r="C113"/>
  <c r="C112"/>
  <c r="N96"/>
  <c r="J96"/>
  <c r="F96"/>
  <c r="K95"/>
  <c r="C95"/>
  <c r="L90"/>
  <c r="H90"/>
  <c r="D90"/>
  <c r="N88"/>
  <c r="N97" s="1"/>
  <c r="J88"/>
  <c r="S87"/>
  <c r="N87"/>
  <c r="M87"/>
  <c r="M96" s="1"/>
  <c r="L87"/>
  <c r="L96" s="1"/>
  <c r="K87"/>
  <c r="K96" s="1"/>
  <c r="J87"/>
  <c r="I87"/>
  <c r="I96" s="1"/>
  <c r="H87"/>
  <c r="H96" s="1"/>
  <c r="G87"/>
  <c r="G96" s="1"/>
  <c r="F87"/>
  <c r="E87"/>
  <c r="E96" s="1"/>
  <c r="D87"/>
  <c r="D96" s="1"/>
  <c r="C87"/>
  <c r="C96" s="1"/>
  <c r="N86"/>
  <c r="N95" s="1"/>
  <c r="M86"/>
  <c r="M95" s="1"/>
  <c r="L86"/>
  <c r="L88" s="1"/>
  <c r="K86"/>
  <c r="J86"/>
  <c r="J95" s="1"/>
  <c r="I86"/>
  <c r="I88" s="1"/>
  <c r="H86"/>
  <c r="C86"/>
  <c r="I85"/>
  <c r="R84"/>
  <c r="R93" s="1"/>
  <c r="N84"/>
  <c r="N93" s="1"/>
  <c r="J84"/>
  <c r="J93" s="1"/>
  <c r="G84"/>
  <c r="G93" s="1"/>
  <c r="F84"/>
  <c r="F93" s="1"/>
  <c r="K83"/>
  <c r="C83"/>
  <c r="O81"/>
  <c r="N81"/>
  <c r="N90" s="1"/>
  <c r="M81"/>
  <c r="M90" s="1"/>
  <c r="L81"/>
  <c r="K81"/>
  <c r="K90" s="1"/>
  <c r="J81"/>
  <c r="J90" s="1"/>
  <c r="I81"/>
  <c r="I90" s="1"/>
  <c r="H81"/>
  <c r="G81"/>
  <c r="G90" s="1"/>
  <c r="F81"/>
  <c r="F90" s="1"/>
  <c r="E81"/>
  <c r="E90" s="1"/>
  <c r="D81"/>
  <c r="C81"/>
  <c r="C90" s="1"/>
  <c r="N80"/>
  <c r="K80"/>
  <c r="K89" s="1"/>
  <c r="J80"/>
  <c r="J82" s="1"/>
  <c r="C80"/>
  <c r="C89" s="1"/>
  <c r="P78"/>
  <c r="N78"/>
  <c r="M78"/>
  <c r="M84" s="1"/>
  <c r="M93" s="1"/>
  <c r="L78"/>
  <c r="L84" s="1"/>
  <c r="K78"/>
  <c r="K84" s="1"/>
  <c r="K93" s="1"/>
  <c r="J78"/>
  <c r="I78"/>
  <c r="I84" s="1"/>
  <c r="I93" s="1"/>
  <c r="H78"/>
  <c r="H84" s="1"/>
  <c r="H93" s="1"/>
  <c r="G78"/>
  <c r="F78"/>
  <c r="E78"/>
  <c r="E84" s="1"/>
  <c r="E93" s="1"/>
  <c r="D78"/>
  <c r="D84" s="1"/>
  <c r="D93" s="1"/>
  <c r="C78"/>
  <c r="C84" s="1"/>
  <c r="N77"/>
  <c r="N83" s="1"/>
  <c r="M77"/>
  <c r="L77"/>
  <c r="L83" s="1"/>
  <c r="K77"/>
  <c r="J77"/>
  <c r="J83" s="1"/>
  <c r="J85" s="1"/>
  <c r="I77"/>
  <c r="I83" s="1"/>
  <c r="H77"/>
  <c r="C77"/>
  <c r="N76"/>
  <c r="M76"/>
  <c r="M80" s="1"/>
  <c r="M82" s="1"/>
  <c r="M91" s="1"/>
  <c r="L76"/>
  <c r="L80" s="1"/>
  <c r="L89" s="1"/>
  <c r="K76"/>
  <c r="J76"/>
  <c r="I76"/>
  <c r="I80" s="1"/>
  <c r="H76"/>
  <c r="H83" s="1"/>
  <c r="G76"/>
  <c r="F76"/>
  <c r="E76"/>
  <c r="D76"/>
  <c r="C76"/>
  <c r="S72"/>
  <c r="R72"/>
  <c r="P72"/>
  <c r="G72"/>
  <c r="F72"/>
  <c r="E72"/>
  <c r="D72"/>
  <c r="S71"/>
  <c r="R71"/>
  <c r="Q71"/>
  <c r="P71"/>
  <c r="O71"/>
  <c r="D71"/>
  <c r="S70"/>
  <c r="R70"/>
  <c r="Q70"/>
  <c r="P70"/>
  <c r="O70"/>
  <c r="S69"/>
  <c r="R69"/>
  <c r="Q69"/>
  <c r="P69"/>
  <c r="O69"/>
  <c r="E67"/>
  <c r="D67"/>
  <c r="C67"/>
  <c r="N64"/>
  <c r="H60"/>
  <c r="H66" s="1"/>
  <c r="J59"/>
  <c r="J65" s="1"/>
  <c r="I59"/>
  <c r="I65" s="1"/>
  <c r="L58"/>
  <c r="L60" s="1"/>
  <c r="K58"/>
  <c r="D56"/>
  <c r="D62" s="1"/>
  <c r="I54"/>
  <c r="H54"/>
  <c r="G54"/>
  <c r="C54"/>
  <c r="N53"/>
  <c r="M53"/>
  <c r="L53"/>
  <c r="S53" s="1"/>
  <c r="K53"/>
  <c r="J53"/>
  <c r="I53"/>
  <c r="R53" s="1"/>
  <c r="H53"/>
  <c r="Q53" s="1"/>
  <c r="G53"/>
  <c r="F53"/>
  <c r="E53"/>
  <c r="D53"/>
  <c r="P53" s="1"/>
  <c r="C53"/>
  <c r="O53" s="1"/>
  <c r="S52"/>
  <c r="N52"/>
  <c r="M52"/>
  <c r="L52"/>
  <c r="K52"/>
  <c r="J52"/>
  <c r="I52"/>
  <c r="R52" s="1"/>
  <c r="H52"/>
  <c r="C52"/>
  <c r="M51"/>
  <c r="L51"/>
  <c r="S51" s="1"/>
  <c r="P50"/>
  <c r="N50"/>
  <c r="N59" s="1"/>
  <c r="N65" s="1"/>
  <c r="M50"/>
  <c r="M59" s="1"/>
  <c r="M65" s="1"/>
  <c r="L50"/>
  <c r="K50"/>
  <c r="J50"/>
  <c r="I50"/>
  <c r="R50" s="1"/>
  <c r="H50"/>
  <c r="G50"/>
  <c r="F50"/>
  <c r="E50"/>
  <c r="E59" s="1"/>
  <c r="E65" s="1"/>
  <c r="D50"/>
  <c r="C50"/>
  <c r="N49"/>
  <c r="N58" s="1"/>
  <c r="M49"/>
  <c r="L49"/>
  <c r="S49" s="1"/>
  <c r="S58" s="1"/>
  <c r="K49"/>
  <c r="J49"/>
  <c r="I49"/>
  <c r="R49" s="1"/>
  <c r="H49"/>
  <c r="E49"/>
  <c r="C49"/>
  <c r="G48"/>
  <c r="F48"/>
  <c r="S47"/>
  <c r="N47"/>
  <c r="M47"/>
  <c r="L47"/>
  <c r="L59" s="1"/>
  <c r="L65" s="1"/>
  <c r="K47"/>
  <c r="K59" s="1"/>
  <c r="K65" s="1"/>
  <c r="J47"/>
  <c r="I47"/>
  <c r="H47"/>
  <c r="H59" s="1"/>
  <c r="H65" s="1"/>
  <c r="G47"/>
  <c r="G59" s="1"/>
  <c r="G65" s="1"/>
  <c r="F47"/>
  <c r="E47"/>
  <c r="D47"/>
  <c r="D59" s="1"/>
  <c r="D65" s="1"/>
  <c r="C47"/>
  <c r="P47" s="1"/>
  <c r="N46"/>
  <c r="M46"/>
  <c r="L46"/>
  <c r="S46" s="1"/>
  <c r="K46"/>
  <c r="J46"/>
  <c r="J58" s="1"/>
  <c r="I46"/>
  <c r="I58" s="1"/>
  <c r="H46"/>
  <c r="H58" s="1"/>
  <c r="H64" s="1"/>
  <c r="G46"/>
  <c r="F46"/>
  <c r="E46"/>
  <c r="D46"/>
  <c r="C46"/>
  <c r="C58" s="1"/>
  <c r="P44"/>
  <c r="P56" s="1"/>
  <c r="P62" s="1"/>
  <c r="N44"/>
  <c r="N56" s="1"/>
  <c r="N62" s="1"/>
  <c r="M44"/>
  <c r="L44"/>
  <c r="L56" s="1"/>
  <c r="L62" s="1"/>
  <c r="K44"/>
  <c r="K56" s="1"/>
  <c r="K62" s="1"/>
  <c r="J44"/>
  <c r="J56" s="1"/>
  <c r="J62" s="1"/>
  <c r="I44"/>
  <c r="R44" s="1"/>
  <c r="H44"/>
  <c r="H56" s="1"/>
  <c r="H62" s="1"/>
  <c r="G44"/>
  <c r="G56" s="1"/>
  <c r="G62" s="1"/>
  <c r="F44"/>
  <c r="E44"/>
  <c r="D44"/>
  <c r="C44"/>
  <c r="C56" s="1"/>
  <c r="C62" s="1"/>
  <c r="N43"/>
  <c r="N55" s="1"/>
  <c r="N61" s="1"/>
  <c r="M43"/>
  <c r="M55" s="1"/>
  <c r="M61" s="1"/>
  <c r="L43"/>
  <c r="K43"/>
  <c r="K55" s="1"/>
  <c r="K61" s="1"/>
  <c r="J43"/>
  <c r="J55" s="1"/>
  <c r="J61" s="1"/>
  <c r="I43"/>
  <c r="R43" s="1"/>
  <c r="R55" s="1"/>
  <c r="H43"/>
  <c r="H55" s="1"/>
  <c r="H61" s="1"/>
  <c r="C43"/>
  <c r="C55" s="1"/>
  <c r="C61" s="1"/>
  <c r="N40"/>
  <c r="N51" s="1"/>
  <c r="M40"/>
  <c r="L40"/>
  <c r="K40"/>
  <c r="K51" s="1"/>
  <c r="J40"/>
  <c r="J51" s="1"/>
  <c r="I40"/>
  <c r="I51" s="1"/>
  <c r="H40"/>
  <c r="H51" s="1"/>
  <c r="G40"/>
  <c r="G51" s="1"/>
  <c r="D40"/>
  <c r="D51" s="1"/>
  <c r="C40"/>
  <c r="C51" s="1"/>
  <c r="S39"/>
  <c r="S40" s="1"/>
  <c r="R39"/>
  <c r="Q39"/>
  <c r="P39"/>
  <c r="O39"/>
  <c r="S38"/>
  <c r="R38"/>
  <c r="R40" s="1"/>
  <c r="Q38"/>
  <c r="Q40" s="1"/>
  <c r="P38"/>
  <c r="P40" s="1"/>
  <c r="G38"/>
  <c r="G86" s="1"/>
  <c r="G95" s="1"/>
  <c r="F38"/>
  <c r="F49" s="1"/>
  <c r="E38"/>
  <c r="E40" s="1"/>
  <c r="E51" s="1"/>
  <c r="D38"/>
  <c r="D86" s="1"/>
  <c r="R37"/>
  <c r="N36"/>
  <c r="N54" s="1"/>
  <c r="M36"/>
  <c r="M54" s="1"/>
  <c r="S54" s="1"/>
  <c r="L36"/>
  <c r="L54" s="1"/>
  <c r="K36"/>
  <c r="K54" s="1"/>
  <c r="J36"/>
  <c r="J54" s="1"/>
  <c r="I36"/>
  <c r="H36"/>
  <c r="G36"/>
  <c r="F36"/>
  <c r="F54" s="1"/>
  <c r="Q54" s="1"/>
  <c r="E36"/>
  <c r="E54" s="1"/>
  <c r="C36"/>
  <c r="S35"/>
  <c r="R35"/>
  <c r="Q35"/>
  <c r="P35"/>
  <c r="O35"/>
  <c r="S34"/>
  <c r="S36" s="1"/>
  <c r="S37" s="1"/>
  <c r="R34"/>
  <c r="R36" s="1"/>
  <c r="G34"/>
  <c r="G52" s="1"/>
  <c r="F34"/>
  <c r="F52" s="1"/>
  <c r="Q52" s="1"/>
  <c r="E34"/>
  <c r="E52" s="1"/>
  <c r="D34"/>
  <c r="S33"/>
  <c r="R33"/>
  <c r="Q33"/>
  <c r="P33"/>
  <c r="O33"/>
  <c r="S32"/>
  <c r="R32"/>
  <c r="Q32"/>
  <c r="P32"/>
  <c r="O32"/>
  <c r="S31"/>
  <c r="R31"/>
  <c r="Q31"/>
  <c r="P31"/>
  <c r="O31"/>
  <c r="S30"/>
  <c r="R30"/>
  <c r="Q30"/>
  <c r="P30"/>
  <c r="O30"/>
  <c r="S29"/>
  <c r="R29"/>
  <c r="Q29"/>
  <c r="P29"/>
  <c r="O29"/>
  <c r="S28"/>
  <c r="R28"/>
  <c r="Q28"/>
  <c r="P28"/>
  <c r="O28"/>
  <c r="S27"/>
  <c r="R27"/>
  <c r="Q27"/>
  <c r="P27"/>
  <c r="O27"/>
  <c r="S26"/>
  <c r="R26"/>
  <c r="Q26"/>
  <c r="P26"/>
  <c r="O26"/>
  <c r="S25"/>
  <c r="S79" s="1"/>
  <c r="N25"/>
  <c r="N79" s="1"/>
  <c r="M25"/>
  <c r="L25"/>
  <c r="K25"/>
  <c r="J25"/>
  <c r="J79" s="1"/>
  <c r="I25"/>
  <c r="H25"/>
  <c r="H79" s="1"/>
  <c r="G25"/>
  <c r="F25"/>
  <c r="E25"/>
  <c r="D25"/>
  <c r="C25"/>
  <c r="S24"/>
  <c r="S78" s="1"/>
  <c r="R24"/>
  <c r="R78" s="1"/>
  <c r="Q24"/>
  <c r="Q78" s="1"/>
  <c r="P24"/>
  <c r="O24"/>
  <c r="O78" s="1"/>
  <c r="S23"/>
  <c r="S77" s="1"/>
  <c r="R23"/>
  <c r="R77" s="1"/>
  <c r="Q23"/>
  <c r="P23"/>
  <c r="O23"/>
  <c r="N17"/>
  <c r="M17"/>
  <c r="P16"/>
  <c r="O16"/>
  <c r="O17" s="1"/>
  <c r="N16"/>
  <c r="M16"/>
  <c r="L16"/>
  <c r="K16"/>
  <c r="J16"/>
  <c r="I16"/>
  <c r="H16"/>
  <c r="G16"/>
  <c r="F16"/>
  <c r="E16"/>
  <c r="D16"/>
  <c r="C16"/>
  <c r="R15"/>
  <c r="O15"/>
  <c r="N15"/>
  <c r="M15"/>
  <c r="L15"/>
  <c r="L17" s="1"/>
  <c r="K15"/>
  <c r="K17" s="1"/>
  <c r="J15"/>
  <c r="J17" s="1"/>
  <c r="I15"/>
  <c r="I17" s="1"/>
  <c r="H15"/>
  <c r="H17" s="1"/>
  <c r="C15"/>
  <c r="C17" s="1"/>
  <c r="T14"/>
  <c r="S14"/>
  <c r="R14"/>
  <c r="O14"/>
  <c r="N14"/>
  <c r="M14"/>
  <c r="L14"/>
  <c r="K14"/>
  <c r="J14"/>
  <c r="I14"/>
  <c r="H14"/>
  <c r="D14"/>
  <c r="C14"/>
  <c r="S13"/>
  <c r="O13"/>
  <c r="N13"/>
  <c r="M13"/>
  <c r="L13"/>
  <c r="K13"/>
  <c r="J13"/>
  <c r="J45" s="1"/>
  <c r="J57" s="1"/>
  <c r="I13"/>
  <c r="H13"/>
  <c r="G13"/>
  <c r="C13"/>
  <c r="O12"/>
  <c r="N12"/>
  <c r="M12"/>
  <c r="L12"/>
  <c r="K12"/>
  <c r="K45" s="1"/>
  <c r="K57" s="1"/>
  <c r="J12"/>
  <c r="I12"/>
  <c r="H12"/>
  <c r="C12"/>
  <c r="O11"/>
  <c r="O22" s="1"/>
  <c r="N11"/>
  <c r="N45" s="1"/>
  <c r="N57" s="1"/>
  <c r="M11"/>
  <c r="M22" s="1"/>
  <c r="L11"/>
  <c r="L22" s="1"/>
  <c r="K11"/>
  <c r="K22" s="1"/>
  <c r="J11"/>
  <c r="I11"/>
  <c r="H11"/>
  <c r="G11"/>
  <c r="F11"/>
  <c r="E11"/>
  <c r="D11"/>
  <c r="C11"/>
  <c r="C22" s="1"/>
  <c r="S10"/>
  <c r="R10"/>
  <c r="Q10"/>
  <c r="P10"/>
  <c r="S9"/>
  <c r="R9"/>
  <c r="R13" s="1"/>
  <c r="Q9"/>
  <c r="P9"/>
  <c r="S8"/>
  <c r="R8"/>
  <c r="Q8"/>
  <c r="P8"/>
  <c r="S7"/>
  <c r="S81" s="1"/>
  <c r="R7"/>
  <c r="R81" s="1"/>
  <c r="Q7"/>
  <c r="Q81" s="1"/>
  <c r="P7"/>
  <c r="S6"/>
  <c r="R6"/>
  <c r="G6"/>
  <c r="G15" s="1"/>
  <c r="G17" s="1"/>
  <c r="F6"/>
  <c r="F14" s="1"/>
  <c r="E6"/>
  <c r="P6" s="1"/>
  <c r="P14" s="1"/>
  <c r="S5"/>
  <c r="R5"/>
  <c r="F5"/>
  <c r="Q5" s="1"/>
  <c r="Q13" s="1"/>
  <c r="E5"/>
  <c r="E13" s="1"/>
  <c r="D5"/>
  <c r="D13" s="1"/>
  <c r="S4"/>
  <c r="S12" s="1"/>
  <c r="R4"/>
  <c r="R12" s="1"/>
  <c r="G12"/>
  <c r="F4"/>
  <c r="F12" s="1"/>
  <c r="E4"/>
  <c r="E12" s="1"/>
  <c r="D4"/>
  <c r="S3"/>
  <c r="S80" s="1"/>
  <c r="R3"/>
  <c r="R11" s="1"/>
  <c r="G3"/>
  <c r="F3"/>
  <c r="F77" s="1"/>
  <c r="F83" s="1"/>
  <c r="E3"/>
  <c r="E43" s="1"/>
  <c r="E55" s="1"/>
  <c r="E61" s="1"/>
  <c r="P51" l="1"/>
  <c r="G22"/>
  <c r="G79"/>
  <c r="R22"/>
  <c r="R17"/>
  <c r="J22"/>
  <c r="R41"/>
  <c r="R42" s="1"/>
  <c r="F58"/>
  <c r="J64"/>
  <c r="J60"/>
  <c r="P42"/>
  <c r="S42"/>
  <c r="S41"/>
  <c r="R25"/>
  <c r="R79" s="1"/>
  <c r="Q44"/>
  <c r="I64"/>
  <c r="I60"/>
  <c r="R46"/>
  <c r="R58" s="1"/>
  <c r="K60"/>
  <c r="L82"/>
  <c r="O87"/>
  <c r="D80"/>
  <c r="D77"/>
  <c r="D83" s="1"/>
  <c r="F43"/>
  <c r="O44"/>
  <c r="C85"/>
  <c r="C92"/>
  <c r="D48"/>
  <c r="P59"/>
  <c r="P65" s="1"/>
  <c r="M83"/>
  <c r="K85"/>
  <c r="K92"/>
  <c r="G77"/>
  <c r="G83" s="1"/>
  <c r="Q83" s="1"/>
  <c r="G80"/>
  <c r="P5"/>
  <c r="P13" s="1"/>
  <c r="Q6"/>
  <c r="Q14" s="1"/>
  <c r="H45"/>
  <c r="H57" s="1"/>
  <c r="H63" s="1"/>
  <c r="F13"/>
  <c r="F45" s="1"/>
  <c r="E14"/>
  <c r="E45" s="1"/>
  <c r="E57" s="1"/>
  <c r="E63" s="1"/>
  <c r="S15"/>
  <c r="R16"/>
  <c r="H22"/>
  <c r="E79"/>
  <c r="E48"/>
  <c r="M79"/>
  <c r="M48"/>
  <c r="R56"/>
  <c r="R62" s="1"/>
  <c r="S44"/>
  <c r="L45"/>
  <c r="H48"/>
  <c r="Q48" s="1"/>
  <c r="N60"/>
  <c r="R54"/>
  <c r="C59"/>
  <c r="C65" s="1"/>
  <c r="L64"/>
  <c r="N85"/>
  <c r="N92"/>
  <c r="D12"/>
  <c r="D22" s="1"/>
  <c r="C48"/>
  <c r="C79"/>
  <c r="L85"/>
  <c r="L92"/>
  <c r="Q16"/>
  <c r="O34"/>
  <c r="O36" s="1"/>
  <c r="D52"/>
  <c r="O52" s="1"/>
  <c r="P34"/>
  <c r="P36" s="1"/>
  <c r="P4"/>
  <c r="P12" s="1"/>
  <c r="S16"/>
  <c r="F86"/>
  <c r="F40"/>
  <c r="F51" s="1"/>
  <c r="Q51" s="1"/>
  <c r="P41"/>
  <c r="R51"/>
  <c r="R60" s="1"/>
  <c r="C45"/>
  <c r="M45"/>
  <c r="M57" s="1"/>
  <c r="E58"/>
  <c r="M58"/>
  <c r="J48"/>
  <c r="G49"/>
  <c r="G58" s="1"/>
  <c r="I55"/>
  <c r="I61" s="1"/>
  <c r="Q72"/>
  <c r="O72"/>
  <c r="O80" s="1"/>
  <c r="H88"/>
  <c r="H97" s="1"/>
  <c r="H95"/>
  <c r="E77"/>
  <c r="E83" s="1"/>
  <c r="E80"/>
  <c r="N22"/>
  <c r="K48"/>
  <c r="K79"/>
  <c r="F59"/>
  <c r="F65" s="1"/>
  <c r="Q50"/>
  <c r="F85"/>
  <c r="F92"/>
  <c r="L48"/>
  <c r="S48" s="1"/>
  <c r="S60" s="1"/>
  <c r="L79"/>
  <c r="G43"/>
  <c r="G55" s="1"/>
  <c r="G61" s="1"/>
  <c r="C60"/>
  <c r="C66" s="1"/>
  <c r="C64"/>
  <c r="I45"/>
  <c r="D15"/>
  <c r="D17" s="1"/>
  <c r="I22"/>
  <c r="Q3"/>
  <c r="Q4"/>
  <c r="Q12" s="1"/>
  <c r="G14"/>
  <c r="G45" s="1"/>
  <c r="G57" s="1"/>
  <c r="G63" s="1"/>
  <c r="E15"/>
  <c r="E17" s="1"/>
  <c r="E22" s="1"/>
  <c r="O25"/>
  <c r="G88"/>
  <c r="G97" s="1"/>
  <c r="Q41"/>
  <c r="Q42" s="1"/>
  <c r="O47"/>
  <c r="N48"/>
  <c r="H92"/>
  <c r="H85"/>
  <c r="H94" s="1"/>
  <c r="R88"/>
  <c r="J92"/>
  <c r="F56"/>
  <c r="F62" s="1"/>
  <c r="N82"/>
  <c r="N91" s="1"/>
  <c r="N98" s="1"/>
  <c r="N89"/>
  <c r="R85"/>
  <c r="D88"/>
  <c r="D97" s="1"/>
  <c r="D95"/>
  <c r="P3"/>
  <c r="R80"/>
  <c r="P81"/>
  <c r="P90" s="1"/>
  <c r="S11"/>
  <c r="F15"/>
  <c r="F17" s="1"/>
  <c r="F22" s="1"/>
  <c r="P25"/>
  <c r="Q34"/>
  <c r="Q36" s="1"/>
  <c r="Q37" s="1"/>
  <c r="O38"/>
  <c r="O40" s="1"/>
  <c r="P46"/>
  <c r="I82"/>
  <c r="I89"/>
  <c r="I92"/>
  <c r="R83"/>
  <c r="P84"/>
  <c r="P93" s="1"/>
  <c r="O84"/>
  <c r="C93"/>
  <c r="F80"/>
  <c r="M89"/>
  <c r="I48"/>
  <c r="R48" s="1"/>
  <c r="I79"/>
  <c r="Q25"/>
  <c r="D36"/>
  <c r="D54" s="1"/>
  <c r="P54" s="1"/>
  <c r="D43"/>
  <c r="L55"/>
  <c r="L61" s="1"/>
  <c r="S43"/>
  <c r="S55" s="1"/>
  <c r="E56"/>
  <c r="E62" s="1"/>
  <c r="M56"/>
  <c r="M62" s="1"/>
  <c r="Q46"/>
  <c r="R47"/>
  <c r="R59" s="1"/>
  <c r="R65" s="1"/>
  <c r="Q47"/>
  <c r="O50"/>
  <c r="S50"/>
  <c r="S59" s="1"/>
  <c r="L93"/>
  <c r="S84"/>
  <c r="Q87"/>
  <c r="O46"/>
  <c r="D49"/>
  <c r="D58" s="1"/>
  <c r="K64"/>
  <c r="C82"/>
  <c r="K82"/>
  <c r="Q84"/>
  <c r="Q93" s="1"/>
  <c r="M88"/>
  <c r="M97" s="1"/>
  <c r="M98" s="1"/>
  <c r="P87"/>
  <c r="P96" s="1"/>
  <c r="H80"/>
  <c r="R86"/>
  <c r="I95"/>
  <c r="S86"/>
  <c r="R87"/>
  <c r="I56"/>
  <c r="I62" s="1"/>
  <c r="E86"/>
  <c r="O86" s="1"/>
  <c r="C88"/>
  <c r="K88"/>
  <c r="J89"/>
  <c r="L95"/>
  <c r="AV55" i="11"/>
  <c r="AV36"/>
  <c r="AV18"/>
  <c r="AU51"/>
  <c r="AU49"/>
  <c r="AU48"/>
  <c r="AU47"/>
  <c r="AU46"/>
  <c r="AU45"/>
  <c r="AU44"/>
  <c r="AU43"/>
  <c r="AU42"/>
  <c r="AU41"/>
  <c r="AU33"/>
  <c r="AU31"/>
  <c r="AU30"/>
  <c r="AU29"/>
  <c r="AU28"/>
  <c r="AU27"/>
  <c r="AU26"/>
  <c r="AU25"/>
  <c r="AU24"/>
  <c r="AU23"/>
  <c r="AU15"/>
  <c r="AU13"/>
  <c r="AU12"/>
  <c r="AU11"/>
  <c r="AU10"/>
  <c r="AU9"/>
  <c r="AU8"/>
  <c r="AU7"/>
  <c r="AU6"/>
  <c r="AU5"/>
  <c r="AR51"/>
  <c r="AR50"/>
  <c r="AR49"/>
  <c r="AR48"/>
  <c r="AR47"/>
  <c r="AR46"/>
  <c r="AR45"/>
  <c r="AR44"/>
  <c r="AR43"/>
  <c r="AR42"/>
  <c r="AR41"/>
  <c r="AR33"/>
  <c r="AR32"/>
  <c r="AR31"/>
  <c r="AR30"/>
  <c r="AR29"/>
  <c r="AR28"/>
  <c r="AR27"/>
  <c r="AR26"/>
  <c r="AR25"/>
  <c r="AR24"/>
  <c r="AR23"/>
  <c r="AR15"/>
  <c r="AR14"/>
  <c r="AR13"/>
  <c r="AR12"/>
  <c r="AR11"/>
  <c r="AR10"/>
  <c r="AR9"/>
  <c r="AR8"/>
  <c r="AR7"/>
  <c r="AR6"/>
  <c r="AR5"/>
  <c r="O77" i="12" l="1"/>
  <c r="F57"/>
  <c r="F63" s="1"/>
  <c r="Q45"/>
  <c r="Q57" s="1"/>
  <c r="D60"/>
  <c r="D66" s="1"/>
  <c r="D64"/>
  <c r="C57"/>
  <c r="C63" s="1"/>
  <c r="P37"/>
  <c r="D79"/>
  <c r="D85"/>
  <c r="D94" s="1"/>
  <c r="D92"/>
  <c r="Q49"/>
  <c r="Q58" s="1"/>
  <c r="H82"/>
  <c r="H91" s="1"/>
  <c r="H98" s="1"/>
  <c r="H89"/>
  <c r="D45"/>
  <c r="D57" s="1"/>
  <c r="D63" s="1"/>
  <c r="E82"/>
  <c r="E91" s="1"/>
  <c r="E98" s="1"/>
  <c r="E89"/>
  <c r="O37"/>
  <c r="G82"/>
  <c r="G91" s="1"/>
  <c r="G98" s="1"/>
  <c r="G89"/>
  <c r="Q77"/>
  <c r="S17"/>
  <c r="S22" s="1"/>
  <c r="F94"/>
  <c r="E85"/>
  <c r="E94" s="1"/>
  <c r="E92"/>
  <c r="G64"/>
  <c r="G60"/>
  <c r="G66" s="1"/>
  <c r="Q60"/>
  <c r="L57"/>
  <c r="S45"/>
  <c r="S57" s="1"/>
  <c r="G85"/>
  <c r="G94" s="1"/>
  <c r="G92"/>
  <c r="C94"/>
  <c r="P85"/>
  <c r="P94" s="1"/>
  <c r="Q56"/>
  <c r="Q62" s="1"/>
  <c r="P49"/>
  <c r="P58" s="1"/>
  <c r="P64" s="1"/>
  <c r="O49"/>
  <c r="O58" s="1"/>
  <c r="C97"/>
  <c r="E95"/>
  <c r="E88"/>
  <c r="E97" s="1"/>
  <c r="I57"/>
  <c r="R45"/>
  <c r="R57" s="1"/>
  <c r="Q86"/>
  <c r="F95"/>
  <c r="F88"/>
  <c r="S56"/>
  <c r="O83"/>
  <c r="S88"/>
  <c r="O51"/>
  <c r="P79"/>
  <c r="Q80"/>
  <c r="Q15"/>
  <c r="Q11"/>
  <c r="R82"/>
  <c r="O54"/>
  <c r="O79"/>
  <c r="Q59"/>
  <c r="Q65" s="1"/>
  <c r="M60"/>
  <c r="M64"/>
  <c r="F79"/>
  <c r="Q79" s="1"/>
  <c r="P83"/>
  <c r="P92" s="1"/>
  <c r="S82"/>
  <c r="P77"/>
  <c r="P60"/>
  <c r="P66" s="1"/>
  <c r="D89"/>
  <c r="D82"/>
  <c r="D91" s="1"/>
  <c r="D98" s="1"/>
  <c r="F82"/>
  <c r="F89"/>
  <c r="P80"/>
  <c r="P89" s="1"/>
  <c r="P15"/>
  <c r="P11"/>
  <c r="P52"/>
  <c r="E60"/>
  <c r="E66" s="1"/>
  <c r="E64"/>
  <c r="M85"/>
  <c r="M92"/>
  <c r="O56"/>
  <c r="P48"/>
  <c r="O48"/>
  <c r="F60"/>
  <c r="F66" s="1"/>
  <c r="F64"/>
  <c r="C91"/>
  <c r="C98" s="1"/>
  <c r="O59"/>
  <c r="D55"/>
  <c r="D61" s="1"/>
  <c r="O43"/>
  <c r="O55" s="1"/>
  <c r="P43"/>
  <c r="O41"/>
  <c r="O42"/>
  <c r="F55"/>
  <c r="F61" s="1"/>
  <c r="Q43"/>
  <c r="Q55" s="1"/>
  <c r="S83"/>
  <c r="P86"/>
  <c r="P95" s="1"/>
  <c r="G16" i="9"/>
  <c r="G7"/>
  <c r="G72" i="4"/>
  <c r="G38"/>
  <c r="G34"/>
  <c r="P17" i="12" l="1"/>
  <c r="P22" s="1"/>
  <c r="O60"/>
  <c r="O45"/>
  <c r="P45"/>
  <c r="P57" s="1"/>
  <c r="P63" s="1"/>
  <c r="S85"/>
  <c r="Q82"/>
  <c r="F91"/>
  <c r="O88"/>
  <c r="O85"/>
  <c r="P82"/>
  <c r="P91" s="1"/>
  <c r="P55"/>
  <c r="P61" s="1"/>
  <c r="Q17"/>
  <c r="Q22" s="1"/>
  <c r="Q88"/>
  <c r="F97"/>
  <c r="P88"/>
  <c r="P97" s="1"/>
  <c r="O82"/>
  <c r="Q85"/>
  <c r="G3" i="4"/>
  <c r="G4"/>
  <c r="G6"/>
  <c r="G18" i="3"/>
  <c r="G17"/>
  <c r="G8"/>
  <c r="G14"/>
  <c r="G9"/>
  <c r="O57" i="12" l="1"/>
  <c r="F98"/>
  <c r="G3" i="3"/>
  <c r="AL51" i="11" l="1"/>
  <c r="AL50"/>
  <c r="AL49"/>
  <c r="AL48"/>
  <c r="AL47"/>
  <c r="AL46"/>
  <c r="AL45"/>
  <c r="AL44"/>
  <c r="AL43"/>
  <c r="AL42"/>
  <c r="AL41"/>
  <c r="AL33"/>
  <c r="AL32"/>
  <c r="AL31"/>
  <c r="AL30"/>
  <c r="AL29"/>
  <c r="AL28"/>
  <c r="AL27"/>
  <c r="AL26"/>
  <c r="AL25"/>
  <c r="AL24"/>
  <c r="AL23"/>
  <c r="AL14"/>
  <c r="AL15"/>
  <c r="AL13"/>
  <c r="AL12"/>
  <c r="AL11"/>
  <c r="AL10"/>
  <c r="AL9"/>
  <c r="AL8"/>
  <c r="AL7"/>
  <c r="AL6"/>
  <c r="AL5"/>
  <c r="AI51" l="1"/>
  <c r="AI50"/>
  <c r="AI49"/>
  <c r="AI48"/>
  <c r="AI47"/>
  <c r="AI46"/>
  <c r="AI45"/>
  <c r="AI44"/>
  <c r="AI43"/>
  <c r="AI42"/>
  <c r="AI41"/>
  <c r="AI33"/>
  <c r="AI32"/>
  <c r="AI31"/>
  <c r="AI30"/>
  <c r="AI29"/>
  <c r="AI28"/>
  <c r="AI27"/>
  <c r="AI26"/>
  <c r="AI25"/>
  <c r="AI24"/>
  <c r="AI23"/>
  <c r="AI12"/>
  <c r="AI11"/>
  <c r="AI10"/>
  <c r="AI9"/>
  <c r="AI8"/>
  <c r="AI7"/>
  <c r="AI6"/>
  <c r="AI5"/>
  <c r="AI15"/>
  <c r="AI14"/>
  <c r="AI13"/>
  <c r="F18" i="3" l="1"/>
  <c r="F3" i="4" l="1"/>
  <c r="F17" i="3"/>
  <c r="F8"/>
  <c r="F72" i="4" s="1"/>
  <c r="F14" i="3"/>
  <c r="F9"/>
  <c r="F7" i="9" l="1"/>
  <c r="E67" i="4"/>
  <c r="F38"/>
  <c r="F6" l="1"/>
  <c r="F4" l="1"/>
  <c r="F5"/>
  <c r="F3" i="3" l="1"/>
  <c r="D53" i="4" l="1"/>
  <c r="E53"/>
  <c r="F53"/>
  <c r="G53"/>
  <c r="H53"/>
  <c r="I53"/>
  <c r="J53"/>
  <c r="K53"/>
  <c r="L53"/>
  <c r="M53"/>
  <c r="N53"/>
  <c r="C53"/>
  <c r="D67"/>
  <c r="C67"/>
  <c r="AC51" i="11" l="1"/>
  <c r="AC50"/>
  <c r="AC49"/>
  <c r="AC48"/>
  <c r="AC47"/>
  <c r="AC46"/>
  <c r="AC45"/>
  <c r="AC44"/>
  <c r="AC43"/>
  <c r="AC42"/>
  <c r="AC41"/>
  <c r="AC33"/>
  <c r="AC32"/>
  <c r="AC31"/>
  <c r="AC30"/>
  <c r="AC29"/>
  <c r="AC28"/>
  <c r="AC27"/>
  <c r="AC26"/>
  <c r="AC25"/>
  <c r="AC24"/>
  <c r="AC23"/>
  <c r="AC15"/>
  <c r="AC14"/>
  <c r="AC13"/>
  <c r="AC12"/>
  <c r="AC11"/>
  <c r="AC10"/>
  <c r="AC9"/>
  <c r="AC8"/>
  <c r="AC7"/>
  <c r="AC6"/>
  <c r="AC5"/>
  <c r="Z51"/>
  <c r="Z50"/>
  <c r="Z49"/>
  <c r="Z48"/>
  <c r="Z47"/>
  <c r="Z46"/>
  <c r="Z45"/>
  <c r="Z44"/>
  <c r="Z43"/>
  <c r="Z42"/>
  <c r="Z41"/>
  <c r="Z33"/>
  <c r="Z32"/>
  <c r="AB32" s="1"/>
  <c r="Z31"/>
  <c r="AB31" s="1"/>
  <c r="Z30"/>
  <c r="AB30" s="1"/>
  <c r="Z29"/>
  <c r="AB29" s="1"/>
  <c r="Z28"/>
  <c r="AB28" s="1"/>
  <c r="Z27"/>
  <c r="AB27" s="1"/>
  <c r="Z26"/>
  <c r="AB26" s="1"/>
  <c r="Z25"/>
  <c r="Z24"/>
  <c r="AB24" s="1"/>
  <c r="Z23"/>
  <c r="AB23" s="1"/>
  <c r="Z15"/>
  <c r="AB15" s="1"/>
  <c r="Z14"/>
  <c r="AB14" s="1"/>
  <c r="Z13"/>
  <c r="AB13" s="1"/>
  <c r="Z12"/>
  <c r="Z11"/>
  <c r="AB11" s="1"/>
  <c r="Z10"/>
  <c r="AB10" s="1"/>
  <c r="Z9"/>
  <c r="AB9" s="1"/>
  <c r="Z8"/>
  <c r="AB8" s="1"/>
  <c r="Z7"/>
  <c r="AB7" s="1"/>
  <c r="Z6"/>
  <c r="AB6" s="1"/>
  <c r="Z5"/>
  <c r="AB5" s="1"/>
  <c r="AB12"/>
  <c r="AB25"/>
  <c r="AB33"/>
  <c r="M25" i="10"/>
  <c r="E16" i="9" l="1"/>
  <c r="E7"/>
  <c r="E38" i="4"/>
  <c r="E34"/>
  <c r="E3" l="1"/>
  <c r="E6"/>
  <c r="E5" l="1"/>
  <c r="E4"/>
  <c r="D18" i="3" l="1"/>
  <c r="E18"/>
  <c r="E17"/>
  <c r="E14"/>
  <c r="E9"/>
  <c r="E8"/>
  <c r="E72" i="4" s="1"/>
  <c r="E3" i="3" l="1"/>
  <c r="D16" i="4" l="1"/>
  <c r="E16"/>
  <c r="F16"/>
  <c r="G16"/>
  <c r="H16"/>
  <c r="I16"/>
  <c r="J16"/>
  <c r="K16"/>
  <c r="L16"/>
  <c r="M16"/>
  <c r="N16"/>
  <c r="O16"/>
  <c r="C16"/>
  <c r="C15"/>
  <c r="E15"/>
  <c r="F15"/>
  <c r="G15"/>
  <c r="H15"/>
  <c r="I15"/>
  <c r="J15"/>
  <c r="K15"/>
  <c r="L15"/>
  <c r="M15"/>
  <c r="N15"/>
  <c r="O15"/>
  <c r="C11"/>
  <c r="C14"/>
  <c r="C17" l="1"/>
  <c r="P7"/>
  <c r="P3"/>
  <c r="D14"/>
  <c r="E14"/>
  <c r="F14"/>
  <c r="G14"/>
  <c r="H14"/>
  <c r="I14"/>
  <c r="J14"/>
  <c r="K14"/>
  <c r="L14"/>
  <c r="M14"/>
  <c r="N14"/>
  <c r="O14"/>
  <c r="C13"/>
  <c r="C12"/>
  <c r="C22" s="1"/>
  <c r="E17"/>
  <c r="F17"/>
  <c r="G17"/>
  <c r="H17"/>
  <c r="I17"/>
  <c r="J17"/>
  <c r="K17"/>
  <c r="L17"/>
  <c r="M17"/>
  <c r="N17"/>
  <c r="O17"/>
  <c r="T49" i="11"/>
  <c r="T48"/>
  <c r="T47"/>
  <c r="T46"/>
  <c r="T44"/>
  <c r="T43"/>
  <c r="T31"/>
  <c r="T30"/>
  <c r="T29"/>
  <c r="T28"/>
  <c r="T26"/>
  <c r="T25"/>
  <c r="Q51"/>
  <c r="Q50"/>
  <c r="Q49"/>
  <c r="Q48"/>
  <c r="Q47"/>
  <c r="Q46"/>
  <c r="Q45"/>
  <c r="Q44"/>
  <c r="Q43"/>
  <c r="Q42"/>
  <c r="Q41"/>
  <c r="Q33"/>
  <c r="Q32"/>
  <c r="Q31"/>
  <c r="Q30"/>
  <c r="Q29"/>
  <c r="Q28"/>
  <c r="Q27"/>
  <c r="Q26"/>
  <c r="Q25"/>
  <c r="Q24"/>
  <c r="Q23"/>
  <c r="T13"/>
  <c r="T12"/>
  <c r="T11"/>
  <c r="T10"/>
  <c r="T8"/>
  <c r="T7"/>
  <c r="Q15"/>
  <c r="Q14"/>
  <c r="Q13"/>
  <c r="Q12"/>
  <c r="Q11"/>
  <c r="Q10"/>
  <c r="Q9"/>
  <c r="Q8"/>
  <c r="Q7"/>
  <c r="Q6"/>
  <c r="Q5"/>
  <c r="H20" i="10"/>
  <c r="H9"/>
  <c r="P11" i="4" l="1"/>
  <c r="D71"/>
  <c r="D38"/>
  <c r="D34"/>
  <c r="D5" l="1"/>
  <c r="D4"/>
  <c r="D15" l="1"/>
  <c r="D17" s="1"/>
  <c r="D17" i="3"/>
  <c r="D14"/>
  <c r="D9"/>
  <c r="D8"/>
  <c r="D72" i="4" s="1"/>
  <c r="D16" i="9" l="1"/>
  <c r="D3" i="3"/>
  <c r="C18" l="1"/>
  <c r="DC53" i="11" l="1"/>
  <c r="DE53" s="1"/>
  <c r="DG53" s="1"/>
  <c r="CT53"/>
  <c r="CV53" s="1"/>
  <c r="CX53" s="1"/>
  <c r="CK53"/>
  <c r="CM53" s="1"/>
  <c r="CO53" s="1"/>
  <c r="CB53"/>
  <c r="CD53" s="1"/>
  <c r="CF53" s="1"/>
  <c r="BS53"/>
  <c r="BU53" s="1"/>
  <c r="BW53" s="1"/>
  <c r="BJ53"/>
  <c r="BL53" s="1"/>
  <c r="BN53" s="1"/>
  <c r="BA53"/>
  <c r="BC53" s="1"/>
  <c r="BE53" s="1"/>
  <c r="AR53"/>
  <c r="AT53" s="1"/>
  <c r="AV53" s="1"/>
  <c r="AI53"/>
  <c r="AK53" s="1"/>
  <c r="AM53" s="1"/>
  <c r="Z53"/>
  <c r="AB53" s="1"/>
  <c r="AD53" s="1"/>
  <c r="Q53"/>
  <c r="S53" s="1"/>
  <c r="U53" s="1"/>
  <c r="H53"/>
  <c r="J53" s="1"/>
  <c r="L53" s="1"/>
  <c r="DE52"/>
  <c r="DG52" s="1"/>
  <c r="CV52"/>
  <c r="CX52" s="1"/>
  <c r="CM52"/>
  <c r="CO52" s="1"/>
  <c r="CD52"/>
  <c r="CF52" s="1"/>
  <c r="BU52"/>
  <c r="BW52" s="1"/>
  <c r="BL52"/>
  <c r="BN52" s="1"/>
  <c r="BC52"/>
  <c r="BE52" s="1"/>
  <c r="AT52"/>
  <c r="AV52" s="1"/>
  <c r="AK52"/>
  <c r="AM52" s="1"/>
  <c r="AB52"/>
  <c r="AD52" s="1"/>
  <c r="S52"/>
  <c r="U52" s="1"/>
  <c r="J52"/>
  <c r="L52" s="1"/>
  <c r="DE51"/>
  <c r="DG51" s="1"/>
  <c r="CV51"/>
  <c r="CX51" s="1"/>
  <c r="CM51"/>
  <c r="CO51" s="1"/>
  <c r="CD51"/>
  <c r="CF51" s="1"/>
  <c r="BU51"/>
  <c r="BW51" s="1"/>
  <c r="BL51"/>
  <c r="BN51" s="1"/>
  <c r="BC51"/>
  <c r="BE51" s="1"/>
  <c r="AT51"/>
  <c r="AV51" s="1"/>
  <c r="AK51"/>
  <c r="AM51" s="1"/>
  <c r="AB51"/>
  <c r="AD51" s="1"/>
  <c r="S51"/>
  <c r="U51" s="1"/>
  <c r="K51"/>
  <c r="H51"/>
  <c r="J51" s="1"/>
  <c r="DE50"/>
  <c r="DG50" s="1"/>
  <c r="CV50"/>
  <c r="CX50" s="1"/>
  <c r="CM50"/>
  <c r="CO50" s="1"/>
  <c r="CD50"/>
  <c r="CF50" s="1"/>
  <c r="BU50"/>
  <c r="BW50" s="1"/>
  <c r="BL50"/>
  <c r="BN50" s="1"/>
  <c r="BC50"/>
  <c r="BE50" s="1"/>
  <c r="AT50"/>
  <c r="AV50" s="1"/>
  <c r="AK50"/>
  <c r="AM50" s="1"/>
  <c r="AB50"/>
  <c r="AD50" s="1"/>
  <c r="S50"/>
  <c r="U50" s="1"/>
  <c r="K50"/>
  <c r="H50"/>
  <c r="J50" s="1"/>
  <c r="L50" s="1"/>
  <c r="DE49"/>
  <c r="DG49" s="1"/>
  <c r="CV49"/>
  <c r="CX49" s="1"/>
  <c r="CM49"/>
  <c r="CO49" s="1"/>
  <c r="CD49"/>
  <c r="CF49" s="1"/>
  <c r="BU49"/>
  <c r="BW49" s="1"/>
  <c r="BL49"/>
  <c r="BN49" s="1"/>
  <c r="BC49"/>
  <c r="BE49" s="1"/>
  <c r="AT49"/>
  <c r="AV49" s="1"/>
  <c r="AK49"/>
  <c r="AM49" s="1"/>
  <c r="AB49"/>
  <c r="AD49" s="1"/>
  <c r="S49"/>
  <c r="U49" s="1"/>
  <c r="K49"/>
  <c r="H49"/>
  <c r="J49" s="1"/>
  <c r="DE48"/>
  <c r="DG48" s="1"/>
  <c r="CV48"/>
  <c r="CX48" s="1"/>
  <c r="CM48"/>
  <c r="CO48" s="1"/>
  <c r="CD48"/>
  <c r="CF48" s="1"/>
  <c r="BU48"/>
  <c r="BW48" s="1"/>
  <c r="BL48"/>
  <c r="BN48" s="1"/>
  <c r="BC48"/>
  <c r="BE48" s="1"/>
  <c r="AT48"/>
  <c r="AV48" s="1"/>
  <c r="AK48"/>
  <c r="AM48" s="1"/>
  <c r="AB48"/>
  <c r="AD48" s="1"/>
  <c r="S48"/>
  <c r="U48" s="1"/>
  <c r="K48"/>
  <c r="H48"/>
  <c r="J48" s="1"/>
  <c r="L48" s="1"/>
  <c r="DE47"/>
  <c r="DG47" s="1"/>
  <c r="CV47"/>
  <c r="CX47" s="1"/>
  <c r="CM47"/>
  <c r="CO47" s="1"/>
  <c r="CD47"/>
  <c r="CF47" s="1"/>
  <c r="BU47"/>
  <c r="BW47" s="1"/>
  <c r="BL47"/>
  <c r="BN47" s="1"/>
  <c r="BC47"/>
  <c r="BE47" s="1"/>
  <c r="AT47"/>
  <c r="AV47" s="1"/>
  <c r="AK47"/>
  <c r="AM47" s="1"/>
  <c r="AB47"/>
  <c r="S47"/>
  <c r="U47" s="1"/>
  <c r="K47"/>
  <c r="H47"/>
  <c r="J47" s="1"/>
  <c r="DE46"/>
  <c r="DG46" s="1"/>
  <c r="CV46"/>
  <c r="CX46" s="1"/>
  <c r="CM46"/>
  <c r="CO46" s="1"/>
  <c r="CD46"/>
  <c r="CF46" s="1"/>
  <c r="BU46"/>
  <c r="BW46" s="1"/>
  <c r="BL46"/>
  <c r="BN46" s="1"/>
  <c r="BC46"/>
  <c r="BE46" s="1"/>
  <c r="AT46"/>
  <c r="AV46" s="1"/>
  <c r="AK46"/>
  <c r="AM46" s="1"/>
  <c r="AB46"/>
  <c r="AD46" s="1"/>
  <c r="S46"/>
  <c r="U46" s="1"/>
  <c r="K46"/>
  <c r="H46"/>
  <c r="J46" s="1"/>
  <c r="DE45"/>
  <c r="DG45" s="1"/>
  <c r="CV45"/>
  <c r="CX45" s="1"/>
  <c r="CM45"/>
  <c r="CO45" s="1"/>
  <c r="CD45"/>
  <c r="CF45" s="1"/>
  <c r="BU45"/>
  <c r="BW45" s="1"/>
  <c r="BL45"/>
  <c r="BN45" s="1"/>
  <c r="BC45"/>
  <c r="BE45" s="1"/>
  <c r="AT45"/>
  <c r="AV45" s="1"/>
  <c r="AK45"/>
  <c r="AM45" s="1"/>
  <c r="AB45"/>
  <c r="AD45" s="1"/>
  <c r="S45"/>
  <c r="U45" s="1"/>
  <c r="K45"/>
  <c r="H45"/>
  <c r="J45" s="1"/>
  <c r="DE44"/>
  <c r="DG44" s="1"/>
  <c r="CV44"/>
  <c r="CX44" s="1"/>
  <c r="CM44"/>
  <c r="CO44" s="1"/>
  <c r="CD44"/>
  <c r="CF44" s="1"/>
  <c r="BU44"/>
  <c r="BW44" s="1"/>
  <c r="BL44"/>
  <c r="BN44" s="1"/>
  <c r="BC44"/>
  <c r="BE44" s="1"/>
  <c r="AT44"/>
  <c r="AV44" s="1"/>
  <c r="AK44"/>
  <c r="AM44" s="1"/>
  <c r="AB44"/>
  <c r="AD44" s="1"/>
  <c r="S44"/>
  <c r="U44" s="1"/>
  <c r="K44"/>
  <c r="H44"/>
  <c r="J44" s="1"/>
  <c r="L44" s="1"/>
  <c r="DE43"/>
  <c r="DG43" s="1"/>
  <c r="CV43"/>
  <c r="CX43" s="1"/>
  <c r="CM43"/>
  <c r="CO43" s="1"/>
  <c r="CD43"/>
  <c r="CF43" s="1"/>
  <c r="BU43"/>
  <c r="BW43" s="1"/>
  <c r="BL43"/>
  <c r="BN43" s="1"/>
  <c r="BC43"/>
  <c r="BE43" s="1"/>
  <c r="AT43"/>
  <c r="AV43" s="1"/>
  <c r="AK43"/>
  <c r="AM43" s="1"/>
  <c r="AB43"/>
  <c r="S43"/>
  <c r="U43" s="1"/>
  <c r="K43"/>
  <c r="H43"/>
  <c r="J43" s="1"/>
  <c r="L43" s="1"/>
  <c r="DE42"/>
  <c r="DG42" s="1"/>
  <c r="CV42"/>
  <c r="CX42" s="1"/>
  <c r="CM42"/>
  <c r="CO42" s="1"/>
  <c r="CD42"/>
  <c r="CF42" s="1"/>
  <c r="BU42"/>
  <c r="BW42" s="1"/>
  <c r="BL42"/>
  <c r="BN42" s="1"/>
  <c r="BC42"/>
  <c r="BE42" s="1"/>
  <c r="AT42"/>
  <c r="AV42" s="1"/>
  <c r="AK42"/>
  <c r="AM42" s="1"/>
  <c r="AB42"/>
  <c r="AD42" s="1"/>
  <c r="S42"/>
  <c r="U42" s="1"/>
  <c r="K42"/>
  <c r="H42"/>
  <c r="J42" s="1"/>
  <c r="C42"/>
  <c r="DE41"/>
  <c r="DG41" s="1"/>
  <c r="CV41"/>
  <c r="CX41" s="1"/>
  <c r="CM41"/>
  <c r="CO41" s="1"/>
  <c r="CD41"/>
  <c r="CF41" s="1"/>
  <c r="BU41"/>
  <c r="BW41" s="1"/>
  <c r="BL41"/>
  <c r="BN41" s="1"/>
  <c r="BC41"/>
  <c r="BE41" s="1"/>
  <c r="AT41"/>
  <c r="AK41"/>
  <c r="AM41" s="1"/>
  <c r="AB41"/>
  <c r="AD41" s="1"/>
  <c r="S41"/>
  <c r="U41" s="1"/>
  <c r="K41"/>
  <c r="H41"/>
  <c r="J41" s="1"/>
  <c r="C41"/>
  <c r="DE34"/>
  <c r="DG34" s="1"/>
  <c r="CV34"/>
  <c r="CX34" s="1"/>
  <c r="CM34"/>
  <c r="CO34" s="1"/>
  <c r="CD34"/>
  <c r="CF34" s="1"/>
  <c r="BU34"/>
  <c r="BW34" s="1"/>
  <c r="BL34"/>
  <c r="BN34" s="1"/>
  <c r="BC34"/>
  <c r="BE34" s="1"/>
  <c r="AT34"/>
  <c r="AV34" s="1"/>
  <c r="AK34"/>
  <c r="AM34" s="1"/>
  <c r="AB34"/>
  <c r="AD34" s="1"/>
  <c r="S34"/>
  <c r="U34" s="1"/>
  <c r="J34"/>
  <c r="L34" s="1"/>
  <c r="DE33"/>
  <c r="CV33"/>
  <c r="CX33" s="1"/>
  <c r="CM33"/>
  <c r="CO33" s="1"/>
  <c r="CD33"/>
  <c r="CF33" s="1"/>
  <c r="BW33"/>
  <c r="BL33"/>
  <c r="BN33" s="1"/>
  <c r="BC33"/>
  <c r="BE33" s="1"/>
  <c r="AT33"/>
  <c r="AV33" s="1"/>
  <c r="AK33"/>
  <c r="AM33" s="1"/>
  <c r="AD33"/>
  <c r="S33"/>
  <c r="U33" s="1"/>
  <c r="K33"/>
  <c r="J33"/>
  <c r="H33"/>
  <c r="DE32"/>
  <c r="DG32" s="1"/>
  <c r="CV32"/>
  <c r="CX32" s="1"/>
  <c r="CM32"/>
  <c r="CO32" s="1"/>
  <c r="CD32"/>
  <c r="CF32" s="1"/>
  <c r="BW32"/>
  <c r="BL32"/>
  <c r="BN32" s="1"/>
  <c r="BC32"/>
  <c r="BE32" s="1"/>
  <c r="AT32"/>
  <c r="AV32" s="1"/>
  <c r="AK32"/>
  <c r="AM32" s="1"/>
  <c r="AD32"/>
  <c r="S32"/>
  <c r="U32" s="1"/>
  <c r="K32"/>
  <c r="H32"/>
  <c r="J32" s="1"/>
  <c r="DE31"/>
  <c r="DG31" s="1"/>
  <c r="CV31"/>
  <c r="CX31" s="1"/>
  <c r="CM31"/>
  <c r="CO31" s="1"/>
  <c r="CD31"/>
  <c r="CF31" s="1"/>
  <c r="BW31"/>
  <c r="BL31"/>
  <c r="BN31" s="1"/>
  <c r="BC31"/>
  <c r="BE31" s="1"/>
  <c r="AT31"/>
  <c r="AV31" s="1"/>
  <c r="AK31"/>
  <c r="AM31" s="1"/>
  <c r="AD31"/>
  <c r="S31"/>
  <c r="U31" s="1"/>
  <c r="K31"/>
  <c r="H31"/>
  <c r="J31" s="1"/>
  <c r="DE30"/>
  <c r="DG30" s="1"/>
  <c r="CV30"/>
  <c r="CX30" s="1"/>
  <c r="CM30"/>
  <c r="CO30" s="1"/>
  <c r="CD30"/>
  <c r="CF30" s="1"/>
  <c r="BW30"/>
  <c r="BL30"/>
  <c r="BN30" s="1"/>
  <c r="BC30"/>
  <c r="BE30" s="1"/>
  <c r="AT30"/>
  <c r="AV30" s="1"/>
  <c r="AK30"/>
  <c r="AM30" s="1"/>
  <c r="AD30"/>
  <c r="S30"/>
  <c r="U30" s="1"/>
  <c r="K30"/>
  <c r="H30"/>
  <c r="J30" s="1"/>
  <c r="DE29"/>
  <c r="DG29" s="1"/>
  <c r="CV29"/>
  <c r="CX29" s="1"/>
  <c r="CM29"/>
  <c r="CO29" s="1"/>
  <c r="CD29"/>
  <c r="CF29" s="1"/>
  <c r="BW29"/>
  <c r="BL29"/>
  <c r="BN29" s="1"/>
  <c r="BC29"/>
  <c r="BE29" s="1"/>
  <c r="AT29"/>
  <c r="AV29" s="1"/>
  <c r="AK29"/>
  <c r="AM29" s="1"/>
  <c r="AD29"/>
  <c r="S29"/>
  <c r="U29" s="1"/>
  <c r="K29"/>
  <c r="H29"/>
  <c r="J29" s="1"/>
  <c r="L29" s="1"/>
  <c r="DE28"/>
  <c r="DG28" s="1"/>
  <c r="CV28"/>
  <c r="CX28" s="1"/>
  <c r="CM28"/>
  <c r="CO28" s="1"/>
  <c r="CD28"/>
  <c r="CF28" s="1"/>
  <c r="BW28"/>
  <c r="BL28"/>
  <c r="BN28" s="1"/>
  <c r="BC28"/>
  <c r="BE28" s="1"/>
  <c r="AT28"/>
  <c r="AV28" s="1"/>
  <c r="AK28"/>
  <c r="AM28" s="1"/>
  <c r="AD28"/>
  <c r="S28"/>
  <c r="U28" s="1"/>
  <c r="K28"/>
  <c r="H28"/>
  <c r="J28" s="1"/>
  <c r="DE27"/>
  <c r="DG27" s="1"/>
  <c r="CV27"/>
  <c r="CX27" s="1"/>
  <c r="CM27"/>
  <c r="CO27" s="1"/>
  <c r="CD27"/>
  <c r="CF27" s="1"/>
  <c r="BW27"/>
  <c r="BL27"/>
  <c r="BN27" s="1"/>
  <c r="BC27"/>
  <c r="BE27" s="1"/>
  <c r="AT27"/>
  <c r="AV27" s="1"/>
  <c r="AK27"/>
  <c r="AM27" s="1"/>
  <c r="AD27"/>
  <c r="S27"/>
  <c r="U27" s="1"/>
  <c r="K27"/>
  <c r="H27"/>
  <c r="J27" s="1"/>
  <c r="DE26"/>
  <c r="DG26" s="1"/>
  <c r="CV26"/>
  <c r="CX26" s="1"/>
  <c r="CM26"/>
  <c r="CO26" s="1"/>
  <c r="CD26"/>
  <c r="CF26" s="1"/>
  <c r="BW26"/>
  <c r="BL26"/>
  <c r="BN26" s="1"/>
  <c r="BC26"/>
  <c r="BE26" s="1"/>
  <c r="AT26"/>
  <c r="AV26" s="1"/>
  <c r="AK26"/>
  <c r="AM26" s="1"/>
  <c r="AD26"/>
  <c r="S26"/>
  <c r="U26" s="1"/>
  <c r="K26"/>
  <c r="H26"/>
  <c r="J26" s="1"/>
  <c r="DE25"/>
  <c r="DG25" s="1"/>
  <c r="CV25"/>
  <c r="CX25" s="1"/>
  <c r="CM25"/>
  <c r="CO25" s="1"/>
  <c r="CD25"/>
  <c r="CF25" s="1"/>
  <c r="BW25"/>
  <c r="BL25"/>
  <c r="BN25" s="1"/>
  <c r="BC25"/>
  <c r="BE25" s="1"/>
  <c r="AT25"/>
  <c r="AV25" s="1"/>
  <c r="AM25"/>
  <c r="AK25"/>
  <c r="AD25"/>
  <c r="S25"/>
  <c r="U25" s="1"/>
  <c r="K25"/>
  <c r="H25"/>
  <c r="J25" s="1"/>
  <c r="DE24"/>
  <c r="DG24" s="1"/>
  <c r="CV24"/>
  <c r="CX24" s="1"/>
  <c r="CM24"/>
  <c r="CO24" s="1"/>
  <c r="CD24"/>
  <c r="CF24" s="1"/>
  <c r="BW24"/>
  <c r="BL24"/>
  <c r="BN24" s="1"/>
  <c r="BC24"/>
  <c r="BE24" s="1"/>
  <c r="AT24"/>
  <c r="AV24" s="1"/>
  <c r="AK24"/>
  <c r="AM24" s="1"/>
  <c r="AD24"/>
  <c r="S24"/>
  <c r="U24" s="1"/>
  <c r="K24"/>
  <c r="H24"/>
  <c r="J24" s="1"/>
  <c r="L24" s="1"/>
  <c r="C24"/>
  <c r="DE23"/>
  <c r="DG23" s="1"/>
  <c r="CV23"/>
  <c r="CX23" s="1"/>
  <c r="CM23"/>
  <c r="CO23" s="1"/>
  <c r="CD23"/>
  <c r="CF23" s="1"/>
  <c r="BW23"/>
  <c r="BL23"/>
  <c r="BN23" s="1"/>
  <c r="BC23"/>
  <c r="BE23" s="1"/>
  <c r="AT23"/>
  <c r="AV23" s="1"/>
  <c r="AK23"/>
  <c r="AM23" s="1"/>
  <c r="AD23"/>
  <c r="S23"/>
  <c r="U23" s="1"/>
  <c r="K23"/>
  <c r="H23"/>
  <c r="J23" s="1"/>
  <c r="C23"/>
  <c r="DC16"/>
  <c r="DE16" s="1"/>
  <c r="DG16" s="1"/>
  <c r="CT16"/>
  <c r="CV16" s="1"/>
  <c r="CX16" s="1"/>
  <c r="CK16"/>
  <c r="CM16" s="1"/>
  <c r="CO16" s="1"/>
  <c r="CD16"/>
  <c r="CF16" s="1"/>
  <c r="BU16"/>
  <c r="BW16" s="1"/>
  <c r="BL16"/>
  <c r="BN16" s="1"/>
  <c r="BC16"/>
  <c r="BE16" s="1"/>
  <c r="AT16"/>
  <c r="AV16" s="1"/>
  <c r="AK16"/>
  <c r="AM16" s="1"/>
  <c r="AB16"/>
  <c r="AD16" s="1"/>
  <c r="U16"/>
  <c r="S16"/>
  <c r="J16"/>
  <c r="L16" s="1"/>
  <c r="DE15"/>
  <c r="DG15" s="1"/>
  <c r="CV15"/>
  <c r="CX15" s="1"/>
  <c r="CM15"/>
  <c r="CO15" s="1"/>
  <c r="CD15"/>
  <c r="CF15" s="1"/>
  <c r="BW15"/>
  <c r="BL15"/>
  <c r="BN15" s="1"/>
  <c r="BC15"/>
  <c r="BE15" s="1"/>
  <c r="AT15"/>
  <c r="AV15" s="1"/>
  <c r="AK15"/>
  <c r="AM15" s="1"/>
  <c r="AD15"/>
  <c r="S15"/>
  <c r="U15" s="1"/>
  <c r="K15"/>
  <c r="H15"/>
  <c r="J15" s="1"/>
  <c r="DE14"/>
  <c r="DG14" s="1"/>
  <c r="CV14"/>
  <c r="CX14" s="1"/>
  <c r="CM14"/>
  <c r="CO14" s="1"/>
  <c r="CD14"/>
  <c r="CF14" s="1"/>
  <c r="BW14"/>
  <c r="BL14"/>
  <c r="BN14" s="1"/>
  <c r="BC14"/>
  <c r="BE14" s="1"/>
  <c r="AT14"/>
  <c r="AV14" s="1"/>
  <c r="AK14"/>
  <c r="AM14" s="1"/>
  <c r="AD14"/>
  <c r="S14"/>
  <c r="U14" s="1"/>
  <c r="K14"/>
  <c r="H14"/>
  <c r="J14" s="1"/>
  <c r="DE13"/>
  <c r="DG13" s="1"/>
  <c r="CV13"/>
  <c r="CX13" s="1"/>
  <c r="CM13"/>
  <c r="CO13" s="1"/>
  <c r="CD13"/>
  <c r="CF13" s="1"/>
  <c r="BW13"/>
  <c r="BL13"/>
  <c r="BN13" s="1"/>
  <c r="BC13"/>
  <c r="BE13" s="1"/>
  <c r="AT13"/>
  <c r="AV13" s="1"/>
  <c r="AK13"/>
  <c r="AM13" s="1"/>
  <c r="AD13"/>
  <c r="S13"/>
  <c r="U13" s="1"/>
  <c r="K13"/>
  <c r="H13"/>
  <c r="J13" s="1"/>
  <c r="DE12"/>
  <c r="DG12" s="1"/>
  <c r="CV12"/>
  <c r="CX12" s="1"/>
  <c r="CM12"/>
  <c r="CO12" s="1"/>
  <c r="CF12"/>
  <c r="CD12"/>
  <c r="BW12"/>
  <c r="BL12"/>
  <c r="BN12" s="1"/>
  <c r="BC12"/>
  <c r="BE12" s="1"/>
  <c r="AT12"/>
  <c r="AV12" s="1"/>
  <c r="AK12"/>
  <c r="AM12" s="1"/>
  <c r="AD12"/>
  <c r="S12"/>
  <c r="U12" s="1"/>
  <c r="K12"/>
  <c r="H12"/>
  <c r="J12" s="1"/>
  <c r="DE11"/>
  <c r="DG11" s="1"/>
  <c r="CV11"/>
  <c r="CX11" s="1"/>
  <c r="CM11"/>
  <c r="CO11" s="1"/>
  <c r="CD11"/>
  <c r="CF11" s="1"/>
  <c r="BW11"/>
  <c r="BL11"/>
  <c r="BN11" s="1"/>
  <c r="BC11"/>
  <c r="BE11" s="1"/>
  <c r="AT11"/>
  <c r="AV11" s="1"/>
  <c r="AK11"/>
  <c r="AM11" s="1"/>
  <c r="AD11"/>
  <c r="S11"/>
  <c r="U11" s="1"/>
  <c r="K11"/>
  <c r="H11"/>
  <c r="J11" s="1"/>
  <c r="DE10"/>
  <c r="DG10" s="1"/>
  <c r="CV10"/>
  <c r="CX10" s="1"/>
  <c r="CM10"/>
  <c r="CO10" s="1"/>
  <c r="CD10"/>
  <c r="CF10" s="1"/>
  <c r="BW10"/>
  <c r="BL10"/>
  <c r="BN10" s="1"/>
  <c r="BC10"/>
  <c r="BE10" s="1"/>
  <c r="AT10"/>
  <c r="AV10" s="1"/>
  <c r="AK10"/>
  <c r="AM10" s="1"/>
  <c r="AD10"/>
  <c r="S10"/>
  <c r="U10" s="1"/>
  <c r="K10"/>
  <c r="H10"/>
  <c r="J10" s="1"/>
  <c r="L10" s="1"/>
  <c r="DE9"/>
  <c r="DG9" s="1"/>
  <c r="CV9"/>
  <c r="CX9" s="1"/>
  <c r="CM9"/>
  <c r="CO9" s="1"/>
  <c r="CD9"/>
  <c r="CF9" s="1"/>
  <c r="BW9"/>
  <c r="BL9"/>
  <c r="BN9" s="1"/>
  <c r="BC9"/>
  <c r="BE9" s="1"/>
  <c r="AT9"/>
  <c r="AV9" s="1"/>
  <c r="AK9"/>
  <c r="AM9" s="1"/>
  <c r="AD9"/>
  <c r="S9"/>
  <c r="U9" s="1"/>
  <c r="K9"/>
  <c r="H9"/>
  <c r="J9" s="1"/>
  <c r="L9" s="1"/>
  <c r="DE8"/>
  <c r="DG8" s="1"/>
  <c r="CV8"/>
  <c r="CX8" s="1"/>
  <c r="CM8"/>
  <c r="CO8" s="1"/>
  <c r="CD8"/>
  <c r="CF8" s="1"/>
  <c r="BW8"/>
  <c r="BL8"/>
  <c r="BN8" s="1"/>
  <c r="BC8"/>
  <c r="BE8" s="1"/>
  <c r="AT8"/>
  <c r="AV8" s="1"/>
  <c r="AK8"/>
  <c r="AM8" s="1"/>
  <c r="AD8"/>
  <c r="S8"/>
  <c r="U8" s="1"/>
  <c r="K8"/>
  <c r="H8"/>
  <c r="J8" s="1"/>
  <c r="DE7"/>
  <c r="DG7" s="1"/>
  <c r="CV7"/>
  <c r="CX7" s="1"/>
  <c r="CM7"/>
  <c r="CO7" s="1"/>
  <c r="CD7"/>
  <c r="CF7" s="1"/>
  <c r="BW7"/>
  <c r="BL7"/>
  <c r="BN7" s="1"/>
  <c r="BC7"/>
  <c r="BE7" s="1"/>
  <c r="AT7"/>
  <c r="AV7" s="1"/>
  <c r="AK7"/>
  <c r="AM7" s="1"/>
  <c r="AD7"/>
  <c r="S7"/>
  <c r="U7" s="1"/>
  <c r="K7"/>
  <c r="H7"/>
  <c r="J7" s="1"/>
  <c r="L7" s="1"/>
  <c r="DE6"/>
  <c r="DG6" s="1"/>
  <c r="CV6"/>
  <c r="CX6" s="1"/>
  <c r="CM6"/>
  <c r="CO6" s="1"/>
  <c r="CD6"/>
  <c r="CF6" s="1"/>
  <c r="BW6"/>
  <c r="BL6"/>
  <c r="BN6" s="1"/>
  <c r="BC6"/>
  <c r="BE6" s="1"/>
  <c r="AT6"/>
  <c r="AV6" s="1"/>
  <c r="AK6"/>
  <c r="AM6" s="1"/>
  <c r="AD6"/>
  <c r="S6"/>
  <c r="U6" s="1"/>
  <c r="K6"/>
  <c r="H6"/>
  <c r="J6" s="1"/>
  <c r="C6"/>
  <c r="DE5"/>
  <c r="DG5" s="1"/>
  <c r="CV5"/>
  <c r="CX5" s="1"/>
  <c r="CM5"/>
  <c r="CO5" s="1"/>
  <c r="CD5"/>
  <c r="CF5" s="1"/>
  <c r="BW5"/>
  <c r="BL5"/>
  <c r="BN5" s="1"/>
  <c r="BC5"/>
  <c r="BE5" s="1"/>
  <c r="AT5"/>
  <c r="AV5" s="1"/>
  <c r="AK5"/>
  <c r="AM5" s="1"/>
  <c r="AD5"/>
  <c r="S5"/>
  <c r="U5" s="1"/>
  <c r="K5"/>
  <c r="H5"/>
  <c r="J5" s="1"/>
  <c r="L5" s="1"/>
  <c r="C5"/>
  <c r="L15" l="1"/>
  <c r="L51"/>
  <c r="L49"/>
  <c r="L26"/>
  <c r="L28"/>
  <c r="L41"/>
  <c r="L46"/>
  <c r="L13"/>
  <c r="CO35"/>
  <c r="CO36" s="1"/>
  <c r="L45"/>
  <c r="L6"/>
  <c r="L25"/>
  <c r="L30"/>
  <c r="L32"/>
  <c r="AM35"/>
  <c r="DG35"/>
  <c r="DG36" s="1"/>
  <c r="BE35"/>
  <c r="CO17"/>
  <c r="CO18" s="1"/>
  <c r="L11"/>
  <c r="AD43"/>
  <c r="L47"/>
  <c r="L12"/>
  <c r="AV35"/>
  <c r="L33"/>
  <c r="BW54"/>
  <c r="AD47"/>
  <c r="L8"/>
  <c r="L14"/>
  <c r="L23"/>
  <c r="BW35"/>
  <c r="L27"/>
  <c r="L31"/>
  <c r="L42"/>
  <c r="CO54"/>
  <c r="CO55" s="1"/>
  <c r="AV54"/>
  <c r="U54"/>
  <c r="U35"/>
  <c r="U17"/>
  <c r="AM17"/>
  <c r="BW17"/>
  <c r="CF35"/>
  <c r="AM54"/>
  <c r="DG54"/>
  <c r="CF54"/>
  <c r="AD17"/>
  <c r="AV17"/>
  <c r="BN17"/>
  <c r="CF17"/>
  <c r="CX17"/>
  <c r="BE17"/>
  <c r="AD35"/>
  <c r="CX35"/>
  <c r="BE54"/>
  <c r="CX54"/>
  <c r="DG17"/>
  <c r="BN35"/>
  <c r="BN54"/>
  <c r="D28" i="10"/>
  <c r="C28"/>
  <c r="D20"/>
  <c r="C20"/>
  <c r="C16" i="9"/>
  <c r="L9"/>
  <c r="K9"/>
  <c r="J9"/>
  <c r="I9"/>
  <c r="H9"/>
  <c r="G9"/>
  <c r="F9"/>
  <c r="E9"/>
  <c r="D9"/>
  <c r="C9"/>
  <c r="L8"/>
  <c r="K8"/>
  <c r="J8"/>
  <c r="I8"/>
  <c r="H8"/>
  <c r="G8"/>
  <c r="F8"/>
  <c r="E8"/>
  <c r="D8"/>
  <c r="C7"/>
  <c r="C8" s="1"/>
  <c r="L5"/>
  <c r="K5"/>
  <c r="J5"/>
  <c r="I5"/>
  <c r="H5"/>
  <c r="G5"/>
  <c r="F5"/>
  <c r="E5"/>
  <c r="D5"/>
  <c r="C5"/>
  <c r="D11" i="4"/>
  <c r="E11"/>
  <c r="F11"/>
  <c r="G11"/>
  <c r="H11"/>
  <c r="I11"/>
  <c r="J11"/>
  <c r="K11"/>
  <c r="L11"/>
  <c r="M11"/>
  <c r="N11"/>
  <c r="O11"/>
  <c r="O22" s="1"/>
  <c r="D12"/>
  <c r="E12"/>
  <c r="F12"/>
  <c r="G12"/>
  <c r="H12"/>
  <c r="I12"/>
  <c r="J12"/>
  <c r="K12"/>
  <c r="L12"/>
  <c r="M12"/>
  <c r="N12"/>
  <c r="O12"/>
  <c r="D13"/>
  <c r="E13"/>
  <c r="F13"/>
  <c r="G13"/>
  <c r="H13"/>
  <c r="I13"/>
  <c r="J13"/>
  <c r="K13"/>
  <c r="L13"/>
  <c r="M13"/>
  <c r="N13"/>
  <c r="O13"/>
  <c r="C17" i="3"/>
  <c r="C14"/>
  <c r="C9"/>
  <c r="C8"/>
  <c r="C3"/>
  <c r="C5" s="1"/>
  <c r="C43" i="4"/>
  <c r="N22" l="1"/>
  <c r="M22"/>
  <c r="E22"/>
  <c r="L17" i="11"/>
  <c r="L54"/>
  <c r="L22" i="4"/>
  <c r="D22"/>
  <c r="K22"/>
  <c r="J22"/>
  <c r="I22"/>
  <c r="G22"/>
  <c r="H22"/>
  <c r="F22"/>
  <c r="L35" i="11"/>
  <c r="DJ35"/>
  <c r="DJ36" s="1"/>
  <c r="AD54"/>
  <c r="DL35"/>
  <c r="DL36" s="1"/>
  <c r="DH35"/>
  <c r="DH36" s="1"/>
  <c r="L36"/>
  <c r="DI35"/>
  <c r="DI36" s="1"/>
  <c r="DK17"/>
  <c r="DK18" s="1"/>
  <c r="L55"/>
  <c r="DI54"/>
  <c r="DI55" s="1"/>
  <c r="DK35"/>
  <c r="DK36" s="1"/>
  <c r="L18"/>
  <c r="DI17"/>
  <c r="DI18" s="1"/>
  <c r="DH17"/>
  <c r="DH18" s="1"/>
  <c r="DK54"/>
  <c r="DK55" s="1"/>
  <c r="DJ54"/>
  <c r="DJ55" s="1"/>
  <c r="DJ17"/>
  <c r="DJ18" s="1"/>
  <c r="DL54"/>
  <c r="DL55" s="1"/>
  <c r="DL17"/>
  <c r="DL18" s="1"/>
  <c r="O39" i="4"/>
  <c r="DH54" i="11" l="1"/>
  <c r="DH55" s="1"/>
  <c r="P6" i="4"/>
  <c r="Q6"/>
  <c r="R6"/>
  <c r="S6"/>
  <c r="BN29" i="10"/>
  <c r="BM29"/>
  <c r="G29"/>
  <c r="L29" s="1"/>
  <c r="Q29" s="1"/>
  <c r="V29" s="1"/>
  <c r="AA29" s="1"/>
  <c r="AF29" s="1"/>
  <c r="AK29" s="1"/>
  <c r="AP29" s="1"/>
  <c r="AU29" s="1"/>
  <c r="AZ29" s="1"/>
  <c r="BE29" s="1"/>
  <c r="G28"/>
  <c r="L28" s="1"/>
  <c r="Q28" s="1"/>
  <c r="V28" s="1"/>
  <c r="AA28" s="1"/>
  <c r="AF28" s="1"/>
  <c r="AK28" s="1"/>
  <c r="AP28" s="1"/>
  <c r="AU28" s="1"/>
  <c r="AZ28" s="1"/>
  <c r="BE28" s="1"/>
  <c r="BJ28" s="1"/>
  <c r="G27"/>
  <c r="L27" s="1"/>
  <c r="Q27" s="1"/>
  <c r="V27" s="1"/>
  <c r="AA27" s="1"/>
  <c r="AF27" s="1"/>
  <c r="AK27" s="1"/>
  <c r="AP27" s="1"/>
  <c r="AU27" s="1"/>
  <c r="AZ27" s="1"/>
  <c r="BE27" s="1"/>
  <c r="G26"/>
  <c r="G25"/>
  <c r="L25" s="1"/>
  <c r="Q25" s="1"/>
  <c r="V25" s="1"/>
  <c r="AA25" s="1"/>
  <c r="AF25" s="1"/>
  <c r="AK25" s="1"/>
  <c r="AP25" s="1"/>
  <c r="AU25" s="1"/>
  <c r="AZ25" s="1"/>
  <c r="BE25" s="1"/>
  <c r="G24"/>
  <c r="G23"/>
  <c r="L23" s="1"/>
  <c r="Q23" s="1"/>
  <c r="V23" s="1"/>
  <c r="AA23" s="1"/>
  <c r="AF23" s="1"/>
  <c r="AK23" s="1"/>
  <c r="AP23" s="1"/>
  <c r="AU23" s="1"/>
  <c r="AZ23" s="1"/>
  <c r="BE23" s="1"/>
  <c r="G22"/>
  <c r="L22" s="1"/>
  <c r="Q22" s="1"/>
  <c r="V22" s="1"/>
  <c r="AA22" s="1"/>
  <c r="AF22" s="1"/>
  <c r="AK22" s="1"/>
  <c r="AP22" s="1"/>
  <c r="AU22" s="1"/>
  <c r="AZ22" s="1"/>
  <c r="BE22" s="1"/>
  <c r="G21"/>
  <c r="L21" s="1"/>
  <c r="Q21" s="1"/>
  <c r="V21" s="1"/>
  <c r="AA21" s="1"/>
  <c r="AF21" s="1"/>
  <c r="AK21" s="1"/>
  <c r="AP21" s="1"/>
  <c r="AU21" s="1"/>
  <c r="AZ21" s="1"/>
  <c r="BE21" s="1"/>
  <c r="G20"/>
  <c r="L20" s="1"/>
  <c r="Q20" s="1"/>
  <c r="V20" s="1"/>
  <c r="AA20" s="1"/>
  <c r="AF20" s="1"/>
  <c r="AK20" s="1"/>
  <c r="AP20" s="1"/>
  <c r="AU20" s="1"/>
  <c r="AZ20" s="1"/>
  <c r="BE20" s="1"/>
  <c r="G11"/>
  <c r="L11" s="1"/>
  <c r="Q11" s="1"/>
  <c r="G10"/>
  <c r="L10" s="1"/>
  <c r="Q10" s="1"/>
  <c r="G9"/>
  <c r="L9" s="1"/>
  <c r="Q9" s="1"/>
  <c r="G8"/>
  <c r="L8" s="1"/>
  <c r="Q8" s="1"/>
  <c r="G7"/>
  <c r="L7" s="1"/>
  <c r="G6"/>
  <c r="L6" s="1"/>
  <c r="BO5"/>
  <c r="G5"/>
  <c r="L5" s="1"/>
  <c r="Q5" s="1"/>
  <c r="N44" i="4"/>
  <c r="Q7" i="10" l="1"/>
  <c r="V7" s="1"/>
  <c r="AA7" s="1"/>
  <c r="AF7" s="1"/>
  <c r="AK7" s="1"/>
  <c r="AP7" s="1"/>
  <c r="AU7" s="1"/>
  <c r="AZ7" s="1"/>
  <c r="BE7" s="1"/>
  <c r="BL7" s="1"/>
  <c r="V10"/>
  <c r="AA10" s="1"/>
  <c r="V11"/>
  <c r="AA11" s="1"/>
  <c r="AF11" s="1"/>
  <c r="AK11" s="1"/>
  <c r="AP11" s="1"/>
  <c r="AU11" s="1"/>
  <c r="AZ11" s="1"/>
  <c r="BE11" s="1"/>
  <c r="V5"/>
  <c r="AA5" s="1"/>
  <c r="AF5" s="1"/>
  <c r="AK5" s="1"/>
  <c r="AP5" s="1"/>
  <c r="AU5" s="1"/>
  <c r="AZ5" s="1"/>
  <c r="BE5" s="1"/>
  <c r="BJ5" s="1"/>
  <c r="BO6" s="1"/>
  <c r="V9"/>
  <c r="AA9" s="1"/>
  <c r="AF9" s="1"/>
  <c r="AK9" s="1"/>
  <c r="AP9" s="1"/>
  <c r="AU9" s="1"/>
  <c r="AZ9" s="1"/>
  <c r="BE9" s="1"/>
  <c r="V8"/>
  <c r="AA8" s="1"/>
  <c r="AF8" s="1"/>
  <c r="AK8" s="1"/>
  <c r="AP8" s="1"/>
  <c r="AU8" s="1"/>
  <c r="AZ8" s="1"/>
  <c r="BE8" s="1"/>
  <c r="L24"/>
  <c r="Q24" s="1"/>
  <c r="V24" s="1"/>
  <c r="AA24" s="1"/>
  <c r="AF24" s="1"/>
  <c r="AK24" s="1"/>
  <c r="AP24" s="1"/>
  <c r="AU24" s="1"/>
  <c r="AZ24" s="1"/>
  <c r="BE24" s="1"/>
  <c r="BL24" s="1"/>
  <c r="L26"/>
  <c r="Q26" s="1"/>
  <c r="V26" s="1"/>
  <c r="AA26" s="1"/>
  <c r="AF26" s="1"/>
  <c r="AK26" s="1"/>
  <c r="AP26" s="1"/>
  <c r="AU26" s="1"/>
  <c r="AZ26" s="1"/>
  <c r="BE26" s="1"/>
  <c r="BJ26" s="1"/>
  <c r="BL25"/>
  <c r="BJ25"/>
  <c r="BL27"/>
  <c r="BJ27"/>
  <c r="BL22"/>
  <c r="BJ22"/>
  <c r="BJ29"/>
  <c r="BL29"/>
  <c r="BL20"/>
  <c r="BJ20"/>
  <c r="BL21"/>
  <c r="BJ21"/>
  <c r="BJ23"/>
  <c r="BL23"/>
  <c r="BL28"/>
  <c r="O38" i="4"/>
  <c r="C81"/>
  <c r="BL26" i="10" l="1"/>
  <c r="Q6"/>
  <c r="V6" s="1"/>
  <c r="AA6" s="1"/>
  <c r="AF6" s="1"/>
  <c r="AK6" s="1"/>
  <c r="AP6" s="1"/>
  <c r="AU6" s="1"/>
  <c r="AZ6" s="1"/>
  <c r="BE6" s="1"/>
  <c r="BL6" s="1"/>
  <c r="BL9"/>
  <c r="BJ9"/>
  <c r="BL8"/>
  <c r="BJ8"/>
  <c r="BL11"/>
  <c r="BJ11"/>
  <c r="BL5"/>
  <c r="BJ7"/>
  <c r="BJ24"/>
  <c r="D81" i="4"/>
  <c r="E81"/>
  <c r="F81"/>
  <c r="G81"/>
  <c r="H81"/>
  <c r="I81"/>
  <c r="J81"/>
  <c r="K81"/>
  <c r="L81"/>
  <c r="M81"/>
  <c r="C86"/>
  <c r="C87"/>
  <c r="C96" s="1"/>
  <c r="C90"/>
  <c r="C88" l="1"/>
  <c r="BJ6" i="10"/>
  <c r="C95" i="4"/>
  <c r="S10" l="1"/>
  <c r="S14" s="1"/>
  <c r="P10"/>
  <c r="P14" s="1"/>
  <c r="R10"/>
  <c r="R14" s="1"/>
  <c r="Q10"/>
  <c r="Q14" s="1"/>
  <c r="N81" l="1"/>
  <c r="C46"/>
  <c r="D44"/>
  <c r="E44"/>
  <c r="F44"/>
  <c r="G44"/>
  <c r="H44"/>
  <c r="I44"/>
  <c r="J44"/>
  <c r="K44"/>
  <c r="L44"/>
  <c r="M44"/>
  <c r="C44"/>
  <c r="N43"/>
  <c r="F52"/>
  <c r="T14"/>
  <c r="Q44" l="1"/>
  <c r="P44"/>
  <c r="R44"/>
  <c r="O44"/>
  <c r="S44"/>
  <c r="P4" i="3"/>
  <c r="Q4"/>
  <c r="M43" i="4" l="1"/>
  <c r="M77" l="1"/>
  <c r="N77"/>
  <c r="D78"/>
  <c r="E78"/>
  <c r="F78"/>
  <c r="G78"/>
  <c r="H78"/>
  <c r="I78"/>
  <c r="J78"/>
  <c r="K78"/>
  <c r="L78"/>
  <c r="M78"/>
  <c r="N78"/>
  <c r="C78"/>
  <c r="C84" s="1"/>
  <c r="C93" s="1"/>
  <c r="D90" l="1"/>
  <c r="E90"/>
  <c r="G90"/>
  <c r="H90"/>
  <c r="F90"/>
  <c r="I90"/>
  <c r="D84"/>
  <c r="D93" s="1"/>
  <c r="E84"/>
  <c r="E93" s="1"/>
  <c r="F84"/>
  <c r="G84"/>
  <c r="G93" s="1"/>
  <c r="H84"/>
  <c r="H93" s="1"/>
  <c r="I84"/>
  <c r="I93" s="1"/>
  <c r="J84"/>
  <c r="K84"/>
  <c r="K93" s="1"/>
  <c r="L84"/>
  <c r="M84"/>
  <c r="M93" s="1"/>
  <c r="N84"/>
  <c r="N93" s="1"/>
  <c r="D25"/>
  <c r="E25"/>
  <c r="F25"/>
  <c r="G25"/>
  <c r="H25"/>
  <c r="I25"/>
  <c r="J25"/>
  <c r="K25"/>
  <c r="L25"/>
  <c r="M25"/>
  <c r="N25"/>
  <c r="C25"/>
  <c r="Q84" l="1"/>
  <c r="Q93" s="1"/>
  <c r="R84"/>
  <c r="K90"/>
  <c r="O84"/>
  <c r="S84"/>
  <c r="P84"/>
  <c r="P93" s="1"/>
  <c r="F93"/>
  <c r="D46"/>
  <c r="D48"/>
  <c r="E48"/>
  <c r="F48"/>
  <c r="G48"/>
  <c r="H48"/>
  <c r="I48"/>
  <c r="J48"/>
  <c r="K48"/>
  <c r="L48"/>
  <c r="M48"/>
  <c r="N48"/>
  <c r="C48"/>
  <c r="D47"/>
  <c r="E47"/>
  <c r="F47"/>
  <c r="G47"/>
  <c r="H47"/>
  <c r="I47"/>
  <c r="J47"/>
  <c r="K47"/>
  <c r="L47"/>
  <c r="M47"/>
  <c r="N47"/>
  <c r="C47"/>
  <c r="E46"/>
  <c r="F46"/>
  <c r="G46"/>
  <c r="H46"/>
  <c r="I46"/>
  <c r="J46"/>
  <c r="K46"/>
  <c r="L46"/>
  <c r="M46"/>
  <c r="N46"/>
  <c r="Q46" l="1"/>
  <c r="R47"/>
  <c r="S47"/>
  <c r="Q47"/>
  <c r="P47"/>
  <c r="O47"/>
  <c r="Q48"/>
  <c r="R48"/>
  <c r="O48"/>
  <c r="P48"/>
  <c r="O46"/>
  <c r="P46"/>
  <c r="S46"/>
  <c r="R46"/>
  <c r="S48"/>
  <c r="K43" l="1"/>
  <c r="L43"/>
  <c r="S43" s="1"/>
  <c r="L77"/>
  <c r="K77"/>
  <c r="J43" l="1"/>
  <c r="I43"/>
  <c r="H43"/>
  <c r="J77"/>
  <c r="R43" l="1"/>
  <c r="G43"/>
  <c r="F43" l="1"/>
  <c r="Q43" s="1"/>
  <c r="E43" l="1"/>
  <c r="D43" l="1"/>
  <c r="P43" l="1"/>
  <c r="O43"/>
  <c r="D36"/>
  <c r="D54" s="1"/>
  <c r="R4" i="3" l="1"/>
  <c r="R93" i="4" s="1"/>
  <c r="J90"/>
  <c r="J93"/>
  <c r="S4" i="3"/>
  <c r="S93" i="4" l="1"/>
  <c r="S65" i="13"/>
  <c r="S62"/>
  <c r="S93"/>
  <c r="S93" i="12"/>
  <c r="S65"/>
  <c r="S62"/>
  <c r="O4" i="3"/>
  <c r="L93" i="4"/>
  <c r="L90"/>
  <c r="O93" l="1"/>
  <c r="O65" i="13"/>
  <c r="O93"/>
  <c r="O62"/>
  <c r="O93" i="12"/>
  <c r="O65"/>
  <c r="O62"/>
  <c r="O35" i="4"/>
  <c r="O23" l="1"/>
  <c r="P23"/>
  <c r="Q23"/>
  <c r="R23"/>
  <c r="S23"/>
  <c r="S77" s="1"/>
  <c r="O24"/>
  <c r="P24"/>
  <c r="Q24"/>
  <c r="R24"/>
  <c r="S24"/>
  <c r="O25"/>
  <c r="P25"/>
  <c r="Q25"/>
  <c r="R25"/>
  <c r="S25"/>
  <c r="Q78" l="1"/>
  <c r="R78"/>
  <c r="P78"/>
  <c r="S78"/>
  <c r="O78"/>
  <c r="D52"/>
  <c r="E52"/>
  <c r="G52"/>
  <c r="H52"/>
  <c r="I52"/>
  <c r="J52"/>
  <c r="K52"/>
  <c r="L52"/>
  <c r="M52"/>
  <c r="N52"/>
  <c r="C52"/>
  <c r="R52" l="1"/>
  <c r="S53"/>
  <c r="S52"/>
  <c r="O52"/>
  <c r="P52"/>
  <c r="Q52"/>
  <c r="S72"/>
  <c r="S71"/>
  <c r="Q71"/>
  <c r="S70"/>
  <c r="R70"/>
  <c r="Q70"/>
  <c r="P70"/>
  <c r="O70"/>
  <c r="S69"/>
  <c r="R69"/>
  <c r="Q69"/>
  <c r="P69"/>
  <c r="O69"/>
  <c r="S39"/>
  <c r="R39"/>
  <c r="Q39"/>
  <c r="P39"/>
  <c r="S38"/>
  <c r="S35"/>
  <c r="R35"/>
  <c r="Q35"/>
  <c r="P35"/>
  <c r="S34"/>
  <c r="R34"/>
  <c r="Q34"/>
  <c r="P34"/>
  <c r="O34"/>
  <c r="O36" s="1"/>
  <c r="S33"/>
  <c r="R33"/>
  <c r="Q33"/>
  <c r="P33"/>
  <c r="O33"/>
  <c r="S32"/>
  <c r="R32"/>
  <c r="Q32"/>
  <c r="P32"/>
  <c r="O32"/>
  <c r="S31"/>
  <c r="R31"/>
  <c r="Q31"/>
  <c r="P31"/>
  <c r="O31"/>
  <c r="S30"/>
  <c r="R30"/>
  <c r="Q30"/>
  <c r="P30"/>
  <c r="O30"/>
  <c r="S29"/>
  <c r="R29"/>
  <c r="Q29"/>
  <c r="P29"/>
  <c r="O29"/>
  <c r="S28"/>
  <c r="R28"/>
  <c r="Q28"/>
  <c r="P28"/>
  <c r="O28"/>
  <c r="S27"/>
  <c r="R27"/>
  <c r="Q27"/>
  <c r="P27"/>
  <c r="O27"/>
  <c r="S26"/>
  <c r="R26"/>
  <c r="Q26"/>
  <c r="P26"/>
  <c r="O26"/>
  <c r="P4"/>
  <c r="Q4"/>
  <c r="R4"/>
  <c r="S4"/>
  <c r="P5"/>
  <c r="Q5"/>
  <c r="R5"/>
  <c r="R13" s="1"/>
  <c r="S5"/>
  <c r="Q7"/>
  <c r="R7"/>
  <c r="S7"/>
  <c r="P8"/>
  <c r="Q8"/>
  <c r="R8"/>
  <c r="S8"/>
  <c r="P9"/>
  <c r="Q9"/>
  <c r="R9"/>
  <c r="S9"/>
  <c r="S3"/>
  <c r="O7" i="9"/>
  <c r="O6"/>
  <c r="O3"/>
  <c r="S7"/>
  <c r="R7"/>
  <c r="Q7"/>
  <c r="P7"/>
  <c r="S6"/>
  <c r="R6"/>
  <c r="Q6"/>
  <c r="P6"/>
  <c r="S4"/>
  <c r="S9" s="1"/>
  <c r="S12" s="1"/>
  <c r="R4"/>
  <c r="Q4"/>
  <c r="Q9" s="1"/>
  <c r="Q12" s="1"/>
  <c r="P4"/>
  <c r="O4"/>
  <c r="O9" s="1"/>
  <c r="O12" s="1"/>
  <c r="S3"/>
  <c r="R3"/>
  <c r="Q3"/>
  <c r="P3"/>
  <c r="D12"/>
  <c r="E12"/>
  <c r="F12"/>
  <c r="G12"/>
  <c r="H12"/>
  <c r="I12"/>
  <c r="J12"/>
  <c r="K12"/>
  <c r="L12"/>
  <c r="M12"/>
  <c r="N12"/>
  <c r="C12"/>
  <c r="D87" i="4"/>
  <c r="D96" s="1"/>
  <c r="E87"/>
  <c r="E96" s="1"/>
  <c r="F87"/>
  <c r="G87"/>
  <c r="G96" s="1"/>
  <c r="H87"/>
  <c r="H96" s="1"/>
  <c r="I87"/>
  <c r="J87"/>
  <c r="J96" s="1"/>
  <c r="K87"/>
  <c r="K96" s="1"/>
  <c r="L87"/>
  <c r="L96" s="1"/>
  <c r="M87"/>
  <c r="N87"/>
  <c r="N96" s="1"/>
  <c r="M90"/>
  <c r="N90"/>
  <c r="N40"/>
  <c r="M40"/>
  <c r="L40"/>
  <c r="K40"/>
  <c r="E36"/>
  <c r="E54" s="1"/>
  <c r="F36"/>
  <c r="G36"/>
  <c r="G54" s="1"/>
  <c r="H36"/>
  <c r="H54" s="1"/>
  <c r="I36"/>
  <c r="I54" s="1"/>
  <c r="J36"/>
  <c r="J54" s="1"/>
  <c r="K36"/>
  <c r="K54" s="1"/>
  <c r="L36"/>
  <c r="L54" s="1"/>
  <c r="M36"/>
  <c r="M54" s="1"/>
  <c r="N36"/>
  <c r="N54" s="1"/>
  <c r="C36"/>
  <c r="R12" l="1"/>
  <c r="C45"/>
  <c r="C54"/>
  <c r="F54"/>
  <c r="F45"/>
  <c r="P13"/>
  <c r="Q16"/>
  <c r="R16"/>
  <c r="Q13"/>
  <c r="Q12"/>
  <c r="S16"/>
  <c r="S15"/>
  <c r="S11"/>
  <c r="P16"/>
  <c r="S13"/>
  <c r="S12"/>
  <c r="P15"/>
  <c r="P12"/>
  <c r="L45"/>
  <c r="K45"/>
  <c r="O37"/>
  <c r="N45"/>
  <c r="M45"/>
  <c r="N79"/>
  <c r="N10" i="9"/>
  <c r="J10"/>
  <c r="S8"/>
  <c r="S10" s="1"/>
  <c r="L10"/>
  <c r="H10"/>
  <c r="D10"/>
  <c r="R8"/>
  <c r="L79" i="4"/>
  <c r="M79"/>
  <c r="K79"/>
  <c r="P87"/>
  <c r="Q87"/>
  <c r="F96"/>
  <c r="I96"/>
  <c r="R87"/>
  <c r="M96"/>
  <c r="O87"/>
  <c r="S87"/>
  <c r="P5" i="9"/>
  <c r="K10"/>
  <c r="S5"/>
  <c r="M10"/>
  <c r="E10"/>
  <c r="R5"/>
  <c r="C10"/>
  <c r="F10"/>
  <c r="G10"/>
  <c r="I10"/>
  <c r="O5"/>
  <c r="R9"/>
  <c r="O8"/>
  <c r="O10" s="1"/>
  <c r="P8"/>
  <c r="P36" i="4"/>
  <c r="Q8" i="9"/>
  <c r="Q10" s="1"/>
  <c r="P9"/>
  <c r="Q5"/>
  <c r="P17" i="4" l="1"/>
  <c r="P22"/>
  <c r="S17"/>
  <c r="S22" s="1"/>
  <c r="S54"/>
  <c r="R54"/>
  <c r="O54"/>
  <c r="P54"/>
  <c r="Q54"/>
  <c r="S45"/>
  <c r="S79"/>
  <c r="P10" i="9"/>
  <c r="P12"/>
  <c r="R10"/>
  <c r="R12"/>
  <c r="P37" i="4"/>
  <c r="R36"/>
  <c r="Q36"/>
  <c r="S36"/>
  <c r="Q37" l="1"/>
  <c r="R37"/>
  <c r="S37"/>
  <c r="K5" i="3" l="1"/>
  <c r="L5"/>
  <c r="M5"/>
  <c r="N5"/>
  <c r="N13" i="9" l="1"/>
  <c r="N66" i="13"/>
  <c r="N63"/>
  <c r="N94"/>
  <c r="N63" i="12"/>
  <c r="N94"/>
  <c r="N66"/>
  <c r="M63" i="13"/>
  <c r="M66"/>
  <c r="M94"/>
  <c r="M63" i="12"/>
  <c r="M66"/>
  <c r="M94"/>
  <c r="L13" i="9"/>
  <c r="L94" i="13"/>
  <c r="L91"/>
  <c r="L98" s="1"/>
  <c r="L97"/>
  <c r="L63"/>
  <c r="L66"/>
  <c r="L66" i="12"/>
  <c r="L97"/>
  <c r="L94"/>
  <c r="L91"/>
  <c r="L63"/>
  <c r="K13" i="9"/>
  <c r="K63" i="12"/>
  <c r="K91"/>
  <c r="K97"/>
  <c r="K66"/>
  <c r="K94"/>
  <c r="M13" i="9"/>
  <c r="L98" i="12" l="1"/>
  <c r="K98"/>
  <c r="J45" i="4"/>
  <c r="R71" l="1"/>
  <c r="J86"/>
  <c r="J40"/>
  <c r="J79" s="1"/>
  <c r="J88" l="1"/>
  <c r="O18" i="3" l="1"/>
  <c r="J95" i="4"/>
  <c r="J5" i="3" l="1"/>
  <c r="BF14" i="10"/>
  <c r="J94" i="12" l="1"/>
  <c r="J97"/>
  <c r="J91"/>
  <c r="J98" s="1"/>
  <c r="J63"/>
  <c r="J66"/>
  <c r="J13" i="9"/>
  <c r="J97" i="4"/>
  <c r="I77" l="1"/>
  <c r="R53" l="1"/>
  <c r="R38"/>
  <c r="I40"/>
  <c r="R3" l="1"/>
  <c r="I45"/>
  <c r="R45" s="1"/>
  <c r="R15" l="1"/>
  <c r="R11"/>
  <c r="I79"/>
  <c r="R77"/>
  <c r="R72"/>
  <c r="R17" l="1"/>
  <c r="R22" s="1"/>
  <c r="R79"/>
  <c r="I5" i="3"/>
  <c r="I13" i="9" l="1"/>
  <c r="I97" i="12"/>
  <c r="I94"/>
  <c r="I66"/>
  <c r="I91"/>
  <c r="I98" s="1"/>
  <c r="I63"/>
  <c r="H77" i="4"/>
  <c r="H86" l="1"/>
  <c r="H40"/>
  <c r="H88" l="1"/>
  <c r="H45"/>
  <c r="H79" l="1"/>
  <c r="H95"/>
  <c r="H13" i="9" l="1"/>
  <c r="H97" i="4"/>
  <c r="G77"/>
  <c r="G40" l="1"/>
  <c r="G45" l="1"/>
  <c r="G79" l="1"/>
  <c r="G5" i="3"/>
  <c r="G13" i="9" s="1"/>
  <c r="F77" i="4" l="1"/>
  <c r="Q53" l="1"/>
  <c r="F40"/>
  <c r="Q38"/>
  <c r="Q3" l="1"/>
  <c r="Q45"/>
  <c r="Q15" l="1"/>
  <c r="Q11"/>
  <c r="F79"/>
  <c r="Q77"/>
  <c r="Q72"/>
  <c r="Q17" l="1"/>
  <c r="Q22" s="1"/>
  <c r="Q79"/>
  <c r="F5" i="3"/>
  <c r="F13" i="9" l="1"/>
  <c r="AM18" i="11"/>
  <c r="AM36"/>
  <c r="AM55"/>
  <c r="E5" i="3"/>
  <c r="E77" i="4"/>
  <c r="E13" i="9" l="1"/>
  <c r="AD36" i="11"/>
  <c r="AD18"/>
  <c r="AD55"/>
  <c r="E40" i="4"/>
  <c r="E45" l="1"/>
  <c r="E79" l="1"/>
  <c r="D5" i="3" l="1"/>
  <c r="U55" i="11" l="1"/>
  <c r="U18"/>
  <c r="U36"/>
  <c r="D13" i="9"/>
  <c r="D40" i="4"/>
  <c r="D77"/>
  <c r="O71"/>
  <c r="P71"/>
  <c r="D45" l="1"/>
  <c r="O45" l="1"/>
  <c r="P45"/>
  <c r="D79"/>
  <c r="C14" i="10" l="1"/>
  <c r="C77" i="4" l="1"/>
  <c r="C40"/>
  <c r="C79" s="1"/>
  <c r="P38"/>
  <c r="P40" s="1"/>
  <c r="O53" l="1"/>
  <c r="P53"/>
  <c r="P41"/>
  <c r="P42" s="1"/>
  <c r="O40"/>
  <c r="O41" l="1"/>
  <c r="O42" s="1"/>
  <c r="P72"/>
  <c r="O72"/>
  <c r="R40"/>
  <c r="R41" s="1"/>
  <c r="R42" s="1"/>
  <c r="Q40"/>
  <c r="Q41" l="1"/>
  <c r="Q42" s="1"/>
  <c r="C11" i="9"/>
  <c r="O3" i="3"/>
  <c r="P77" i="4"/>
  <c r="O77"/>
  <c r="S40"/>
  <c r="O90" i="13" l="1"/>
  <c r="O89"/>
  <c r="O96"/>
  <c r="O92"/>
  <c r="O95"/>
  <c r="O64"/>
  <c r="O61"/>
  <c r="O90" i="12"/>
  <c r="O96"/>
  <c r="O95"/>
  <c r="O89"/>
  <c r="O64"/>
  <c r="O61"/>
  <c r="O92"/>
  <c r="C15" i="10"/>
  <c r="S41" i="4"/>
  <c r="S42" s="1"/>
  <c r="C97"/>
  <c r="C13" i="9"/>
  <c r="P79" i="4"/>
  <c r="O79"/>
  <c r="O5" i="3"/>
  <c r="O96" i="4"/>
  <c r="U51" i="13" l="1"/>
  <c r="U54"/>
  <c r="O66"/>
  <c r="O94"/>
  <c r="U45"/>
  <c r="O91"/>
  <c r="O97"/>
  <c r="O63"/>
  <c r="U51" i="12"/>
  <c r="U54"/>
  <c r="O66"/>
  <c r="O94"/>
  <c r="O91"/>
  <c r="O97"/>
  <c r="U45"/>
  <c r="O63"/>
  <c r="U54" i="4"/>
  <c r="O81"/>
  <c r="O90" s="1"/>
  <c r="O80"/>
  <c r="O13" i="9"/>
  <c r="N86" i="4"/>
  <c r="O98" i="13" l="1"/>
  <c r="O98" i="12"/>
  <c r="U45" i="4"/>
  <c r="P81"/>
  <c r="P80"/>
  <c r="N95"/>
  <c r="N88"/>
  <c r="N97" s="1"/>
  <c r="BO1" i="11"/>
  <c r="Q81" i="4" l="1"/>
  <c r="Q80"/>
  <c r="R81"/>
  <c r="R80"/>
  <c r="B30" i="10"/>
  <c r="S81" i="4" l="1"/>
  <c r="S80"/>
  <c r="P9" i="3" l="1"/>
  <c r="Q9"/>
  <c r="R9"/>
  <c r="S9"/>
  <c r="O9" l="1"/>
  <c r="G13" i="10" l="1"/>
  <c r="L13" s="1"/>
  <c r="Q13" s="1"/>
  <c r="V13" s="1"/>
  <c r="AA13" s="1"/>
  <c r="AF13" s="1"/>
  <c r="AK13" s="1"/>
  <c r="AP13" s="1"/>
  <c r="AU13" s="1"/>
  <c r="AZ13" s="1"/>
  <c r="BE13" s="1"/>
  <c r="BL13" l="1"/>
  <c r="BJ13"/>
  <c r="B14" l="1"/>
  <c r="BK30" l="1"/>
  <c r="BI30"/>
  <c r="BI31" s="1"/>
  <c r="BH30"/>
  <c r="BG30"/>
  <c r="BF30"/>
  <c r="BD30"/>
  <c r="BD31" s="1"/>
  <c r="BC30"/>
  <c r="BB30"/>
  <c r="BA30"/>
  <c r="BA31" s="1"/>
  <c r="AY30"/>
  <c r="AY31" s="1"/>
  <c r="AX30"/>
  <c r="AW30"/>
  <c r="AV30"/>
  <c r="AV31" s="1"/>
  <c r="AT30"/>
  <c r="AT31" s="1"/>
  <c r="AS30"/>
  <c r="AR30"/>
  <c r="AQ30"/>
  <c r="AQ31" s="1"/>
  <c r="AO30"/>
  <c r="AO31" s="1"/>
  <c r="AN30"/>
  <c r="AM30"/>
  <c r="AL30"/>
  <c r="AL31" s="1"/>
  <c r="AJ30"/>
  <c r="AJ31" s="1"/>
  <c r="AI30"/>
  <c r="AH30"/>
  <c r="AG30"/>
  <c r="AG31" s="1"/>
  <c r="AE30"/>
  <c r="AE31" s="1"/>
  <c r="AD30"/>
  <c r="AC30"/>
  <c r="AB30"/>
  <c r="AB31" s="1"/>
  <c r="Z30"/>
  <c r="Z31" s="1"/>
  <c r="Y30"/>
  <c r="X30"/>
  <c r="W30"/>
  <c r="W31" s="1"/>
  <c r="U30"/>
  <c r="U31" s="1"/>
  <c r="T30"/>
  <c r="S30"/>
  <c r="R30"/>
  <c r="R31" s="1"/>
  <c r="P30"/>
  <c r="P31" s="1"/>
  <c r="O30"/>
  <c r="N30"/>
  <c r="M30"/>
  <c r="M31" s="1"/>
  <c r="K30"/>
  <c r="K31" s="1"/>
  <c r="J30"/>
  <c r="I30"/>
  <c r="H30"/>
  <c r="H31" s="1"/>
  <c r="E30"/>
  <c r="D30"/>
  <c r="C30"/>
  <c r="C31" s="1"/>
  <c r="BM30" l="1"/>
  <c r="BM31" s="1"/>
  <c r="BK14"/>
  <c r="BI14"/>
  <c r="BI15" s="1"/>
  <c r="BH14"/>
  <c r="BG14"/>
  <c r="BD14"/>
  <c r="BD15" s="1"/>
  <c r="BC14"/>
  <c r="BB14"/>
  <c r="BA14"/>
  <c r="BA15" s="1"/>
  <c r="AY14"/>
  <c r="AY15" s="1"/>
  <c r="AX14"/>
  <c r="AW14"/>
  <c r="AV14"/>
  <c r="AV15" s="1"/>
  <c r="AT14"/>
  <c r="AT15" s="1"/>
  <c r="AS14"/>
  <c r="AR14"/>
  <c r="AQ14"/>
  <c r="AQ15" s="1"/>
  <c r="AO14"/>
  <c r="AO15" s="1"/>
  <c r="AN14"/>
  <c r="AM14"/>
  <c r="AL14"/>
  <c r="AL15" s="1"/>
  <c r="AJ14"/>
  <c r="AJ15" s="1"/>
  <c r="AI14"/>
  <c r="AH14"/>
  <c r="AG14"/>
  <c r="AG15" s="1"/>
  <c r="AE14"/>
  <c r="AE15" s="1"/>
  <c r="AD14"/>
  <c r="AC14"/>
  <c r="Z14"/>
  <c r="Z15" s="1"/>
  <c r="Y14"/>
  <c r="X14"/>
  <c r="W14"/>
  <c r="W15" s="1"/>
  <c r="U14"/>
  <c r="U15" s="1"/>
  <c r="T14"/>
  <c r="S14"/>
  <c r="R14"/>
  <c r="R15" s="1"/>
  <c r="P14"/>
  <c r="P15" s="1"/>
  <c r="O14"/>
  <c r="N14"/>
  <c r="M14"/>
  <c r="M15" s="1"/>
  <c r="K14"/>
  <c r="K15" s="1"/>
  <c r="J14"/>
  <c r="I14"/>
  <c r="H14"/>
  <c r="H15" s="1"/>
  <c r="F14"/>
  <c r="E14"/>
  <c r="D14"/>
  <c r="S16" i="9"/>
  <c r="R16"/>
  <c r="Q16"/>
  <c r="P16"/>
  <c r="N11"/>
  <c r="M11"/>
  <c r="L11"/>
  <c r="K11"/>
  <c r="J11"/>
  <c r="I11"/>
  <c r="H11"/>
  <c r="G11"/>
  <c r="E11"/>
  <c r="D11"/>
  <c r="F15" i="10" l="1"/>
  <c r="BN14"/>
  <c r="BN15" s="1"/>
  <c r="G14"/>
  <c r="Q11" i="9"/>
  <c r="F11"/>
  <c r="O11"/>
  <c r="R11"/>
  <c r="S11"/>
  <c r="P11"/>
  <c r="L14" i="10" l="1"/>
  <c r="Q14"/>
  <c r="V14"/>
  <c r="AA14" l="1"/>
  <c r="P8" i="3" l="1"/>
  <c r="O8"/>
  <c r="N20"/>
  <c r="N21" s="1"/>
  <c r="C20"/>
  <c r="C21" s="1"/>
  <c r="S19" l="1"/>
  <c r="R19"/>
  <c r="Q19"/>
  <c r="P19"/>
  <c r="O19"/>
  <c r="S18"/>
  <c r="R18"/>
  <c r="Q18"/>
  <c r="P18"/>
  <c r="S17"/>
  <c r="R17"/>
  <c r="Q17"/>
  <c r="P17"/>
  <c r="O17"/>
  <c r="S16"/>
  <c r="R16"/>
  <c r="Q16"/>
  <c r="P16"/>
  <c r="O16"/>
  <c r="S15"/>
  <c r="R15"/>
  <c r="Q15"/>
  <c r="P15"/>
  <c r="O15"/>
  <c r="S14"/>
  <c r="R14"/>
  <c r="Q14"/>
  <c r="P14"/>
  <c r="O14"/>
  <c r="S13"/>
  <c r="R13"/>
  <c r="Q13"/>
  <c r="P13"/>
  <c r="O13"/>
  <c r="S12"/>
  <c r="R12"/>
  <c r="Q12"/>
  <c r="P12"/>
  <c r="O12"/>
  <c r="S11"/>
  <c r="R11"/>
  <c r="Q11"/>
  <c r="P11"/>
  <c r="O11"/>
  <c r="S10"/>
  <c r="R10"/>
  <c r="Q10"/>
  <c r="P10"/>
  <c r="O10"/>
  <c r="S8"/>
  <c r="R8"/>
  <c r="Q8"/>
  <c r="D20"/>
  <c r="D21" s="1"/>
  <c r="E20"/>
  <c r="E21" s="1"/>
  <c r="F20"/>
  <c r="F21" s="1"/>
  <c r="G20"/>
  <c r="G21" s="1"/>
  <c r="H20"/>
  <c r="H21" s="1"/>
  <c r="I20"/>
  <c r="I21" s="1"/>
  <c r="J20"/>
  <c r="J21" s="1"/>
  <c r="K20"/>
  <c r="K21" s="1"/>
  <c r="L20"/>
  <c r="L21" s="1"/>
  <c r="M20"/>
  <c r="M21" s="1"/>
  <c r="O20" l="1"/>
  <c r="O21" s="1"/>
  <c r="Q20"/>
  <c r="Q21" s="1"/>
  <c r="R20"/>
  <c r="R21" s="1"/>
  <c r="S20"/>
  <c r="S21" s="1"/>
  <c r="P20"/>
  <c r="P21" s="1"/>
  <c r="D86" i="4" l="1"/>
  <c r="E86"/>
  <c r="F86"/>
  <c r="G86"/>
  <c r="I86"/>
  <c r="K86"/>
  <c r="L86"/>
  <c r="M86"/>
  <c r="C114"/>
  <c r="L88" l="1"/>
  <c r="L97" s="1"/>
  <c r="L95"/>
  <c r="F95"/>
  <c r="F88"/>
  <c r="K88"/>
  <c r="K97" s="1"/>
  <c r="K95"/>
  <c r="E88"/>
  <c r="E97" s="1"/>
  <c r="E95"/>
  <c r="G88"/>
  <c r="G97" s="1"/>
  <c r="G95"/>
  <c r="I88"/>
  <c r="I95"/>
  <c r="D88"/>
  <c r="D95"/>
  <c r="M95"/>
  <c r="M88"/>
  <c r="M97" s="1"/>
  <c r="O86"/>
  <c r="O95" s="1"/>
  <c r="R86"/>
  <c r="Q86"/>
  <c r="P86"/>
  <c r="S86"/>
  <c r="M76"/>
  <c r="M80" s="1"/>
  <c r="K76"/>
  <c r="K80" s="1"/>
  <c r="J76"/>
  <c r="J80" s="1"/>
  <c r="H76"/>
  <c r="H80" s="1"/>
  <c r="F76"/>
  <c r="F80" s="1"/>
  <c r="E76"/>
  <c r="E80" s="1"/>
  <c r="D76"/>
  <c r="D80" s="1"/>
  <c r="G76"/>
  <c r="I76"/>
  <c r="I80" s="1"/>
  <c r="L76"/>
  <c r="L80" s="1"/>
  <c r="N76"/>
  <c r="N80" s="1"/>
  <c r="C76"/>
  <c r="C80" s="1"/>
  <c r="C82" s="1"/>
  <c r="C83" l="1"/>
  <c r="G80"/>
  <c r="G83"/>
  <c r="E83"/>
  <c r="N83"/>
  <c r="N82"/>
  <c r="J83"/>
  <c r="L83"/>
  <c r="K83"/>
  <c r="I97"/>
  <c r="R88"/>
  <c r="I83"/>
  <c r="F83"/>
  <c r="M83"/>
  <c r="M82"/>
  <c r="M91" s="1"/>
  <c r="M98" s="1"/>
  <c r="D83"/>
  <c r="F97"/>
  <c r="Q88"/>
  <c r="H83"/>
  <c r="D97"/>
  <c r="P88"/>
  <c r="O88"/>
  <c r="O97" s="1"/>
  <c r="S88"/>
  <c r="S3" i="3"/>
  <c r="R3"/>
  <c r="Q3"/>
  <c r="P3"/>
  <c r="N98" i="4" l="1"/>
  <c r="N91"/>
  <c r="S95" i="13"/>
  <c r="S96"/>
  <c r="S89"/>
  <c r="S90"/>
  <c r="S64"/>
  <c r="S61"/>
  <c r="S92"/>
  <c r="S96" i="12"/>
  <c r="S64"/>
  <c r="S89"/>
  <c r="S90"/>
  <c r="S61"/>
  <c r="S95"/>
  <c r="S92"/>
  <c r="R95" i="4"/>
  <c r="R61" i="12"/>
  <c r="R90"/>
  <c r="R95"/>
  <c r="R92"/>
  <c r="R89"/>
  <c r="R64"/>
  <c r="R96"/>
  <c r="Q90"/>
  <c r="Q96"/>
  <c r="Q92"/>
  <c r="Q61"/>
  <c r="Q64"/>
  <c r="Q95"/>
  <c r="Q89"/>
  <c r="C85" i="4"/>
  <c r="C94" s="1"/>
  <c r="C92"/>
  <c r="C91"/>
  <c r="C98" s="1"/>
  <c r="C89"/>
  <c r="N89"/>
  <c r="R89"/>
  <c r="H92"/>
  <c r="H85"/>
  <c r="H94" s="1"/>
  <c r="I82"/>
  <c r="I89"/>
  <c r="K85"/>
  <c r="K94" s="1"/>
  <c r="K92"/>
  <c r="J82"/>
  <c r="J91" s="1"/>
  <c r="J98" s="1"/>
  <c r="J89"/>
  <c r="M89"/>
  <c r="H82"/>
  <c r="H91" s="1"/>
  <c r="H98" s="1"/>
  <c r="H89"/>
  <c r="P83"/>
  <c r="P92" s="1"/>
  <c r="O83"/>
  <c r="O92" s="1"/>
  <c r="M92"/>
  <c r="M85"/>
  <c r="M94" s="1"/>
  <c r="I92"/>
  <c r="I85"/>
  <c r="R83"/>
  <c r="R92" s="1"/>
  <c r="K89"/>
  <c r="K82"/>
  <c r="K91" s="1"/>
  <c r="K98" s="1"/>
  <c r="J85"/>
  <c r="J94" s="1"/>
  <c r="J92"/>
  <c r="G89"/>
  <c r="G82"/>
  <c r="G91" s="1"/>
  <c r="G98" s="1"/>
  <c r="H99" s="1"/>
  <c r="E92"/>
  <c r="E85"/>
  <c r="E94" s="1"/>
  <c r="D82"/>
  <c r="D91" s="1"/>
  <c r="D98" s="1"/>
  <c r="D89"/>
  <c r="F82"/>
  <c r="F89"/>
  <c r="Q89"/>
  <c r="L92"/>
  <c r="S83"/>
  <c r="S92" s="1"/>
  <c r="L85"/>
  <c r="O89"/>
  <c r="P89"/>
  <c r="G92"/>
  <c r="G85"/>
  <c r="G94" s="1"/>
  <c r="E82"/>
  <c r="E91" s="1"/>
  <c r="E98" s="1"/>
  <c r="E89"/>
  <c r="D92"/>
  <c r="D85"/>
  <c r="D94" s="1"/>
  <c r="Q83"/>
  <c r="Q92" s="1"/>
  <c r="F92"/>
  <c r="F85"/>
  <c r="L89"/>
  <c r="L82"/>
  <c r="S89"/>
  <c r="N92"/>
  <c r="N85"/>
  <c r="N94" s="1"/>
  <c r="Q96"/>
  <c r="Q90"/>
  <c r="Q5" i="3"/>
  <c r="P96" i="4"/>
  <c r="P90"/>
  <c r="P5" i="3"/>
  <c r="Q95" i="4"/>
  <c r="P95"/>
  <c r="S96"/>
  <c r="S90"/>
  <c r="S5" i="3"/>
  <c r="R96" i="4"/>
  <c r="R90"/>
  <c r="R5" i="3"/>
  <c r="S95" i="4"/>
  <c r="S97" l="1"/>
  <c r="S66" i="13"/>
  <c r="S97"/>
  <c r="S63"/>
  <c r="S94"/>
  <c r="S91"/>
  <c r="S66" i="12"/>
  <c r="S63"/>
  <c r="S97"/>
  <c r="S91"/>
  <c r="S94"/>
  <c r="R97"/>
  <c r="R66"/>
  <c r="R94"/>
  <c r="R63"/>
  <c r="R91"/>
  <c r="Q66"/>
  <c r="Q63"/>
  <c r="Q94"/>
  <c r="Q97"/>
  <c r="Q91"/>
  <c r="R13" i="9"/>
  <c r="P13"/>
  <c r="P97" i="4"/>
  <c r="Q13" i="9"/>
  <c r="R97" i="4"/>
  <c r="Q97"/>
  <c r="R85"/>
  <c r="R94" s="1"/>
  <c r="I94"/>
  <c r="F94"/>
  <c r="Q85"/>
  <c r="Q94" s="1"/>
  <c r="R82"/>
  <c r="R91" s="1"/>
  <c r="I91"/>
  <c r="I98" s="1"/>
  <c r="O82"/>
  <c r="O91" s="1"/>
  <c r="O98" s="1"/>
  <c r="P82"/>
  <c r="P91" s="1"/>
  <c r="F91"/>
  <c r="F98" s="1"/>
  <c r="Q82"/>
  <c r="Q91" s="1"/>
  <c r="L91"/>
  <c r="L98" s="1"/>
  <c r="S82"/>
  <c r="S91" s="1"/>
  <c r="L94"/>
  <c r="S85"/>
  <c r="S94" s="1"/>
  <c r="P85"/>
  <c r="P94" s="1"/>
  <c r="O85"/>
  <c r="O94" s="1"/>
  <c r="S13" i="9"/>
  <c r="C113" i="4"/>
  <c r="C112"/>
  <c r="K49" l="1"/>
  <c r="K58" s="1"/>
  <c r="D50"/>
  <c r="H50"/>
  <c r="H59" s="1"/>
  <c r="H65" s="1"/>
  <c r="L50"/>
  <c r="G50"/>
  <c r="G59" s="1"/>
  <c r="G65" s="1"/>
  <c r="L49"/>
  <c r="E50"/>
  <c r="E59" s="1"/>
  <c r="E65" s="1"/>
  <c r="I50"/>
  <c r="I59" s="1"/>
  <c r="I65" s="1"/>
  <c r="M50"/>
  <c r="M59" s="1"/>
  <c r="M65" s="1"/>
  <c r="C50"/>
  <c r="K50"/>
  <c r="K59" s="1"/>
  <c r="K65" s="1"/>
  <c r="M49"/>
  <c r="M58" s="1"/>
  <c r="F50"/>
  <c r="J50"/>
  <c r="N50"/>
  <c r="N59" s="1"/>
  <c r="N51"/>
  <c r="N57" s="1"/>
  <c r="N49"/>
  <c r="N58" s="1"/>
  <c r="N64" s="1"/>
  <c r="M51"/>
  <c r="M57" s="1"/>
  <c r="L51"/>
  <c r="K51"/>
  <c r="K57" s="1"/>
  <c r="J49"/>
  <c r="J58" s="1"/>
  <c r="J64" s="1"/>
  <c r="J51"/>
  <c r="J57" s="1"/>
  <c r="I49"/>
  <c r="I51"/>
  <c r="H49"/>
  <c r="H58" s="1"/>
  <c r="H51"/>
  <c r="H57" s="1"/>
  <c r="G49"/>
  <c r="G58" s="1"/>
  <c r="G51"/>
  <c r="G57" s="1"/>
  <c r="F49"/>
  <c r="Q49" s="1"/>
  <c r="Q55" s="1"/>
  <c r="F51"/>
  <c r="F57" s="1"/>
  <c r="F63" s="1"/>
  <c r="E49"/>
  <c r="E58" s="1"/>
  <c r="E51"/>
  <c r="E57" s="1"/>
  <c r="D49"/>
  <c r="D58" s="1"/>
  <c r="D51"/>
  <c r="D57" s="1"/>
  <c r="D63" s="1"/>
  <c r="C49"/>
  <c r="C51"/>
  <c r="C57" s="1"/>
  <c r="F30" i="10"/>
  <c r="F31" s="1"/>
  <c r="P50" i="4" l="1"/>
  <c r="F59"/>
  <c r="F65" s="1"/>
  <c r="Q50"/>
  <c r="Q56" s="1"/>
  <c r="Q62" s="1"/>
  <c r="L59"/>
  <c r="L65" s="1"/>
  <c r="S50"/>
  <c r="S59" s="1"/>
  <c r="S65" s="1"/>
  <c r="R50"/>
  <c r="R56" s="1"/>
  <c r="R62" s="1"/>
  <c r="O50"/>
  <c r="O59" s="1"/>
  <c r="O65" s="1"/>
  <c r="L58"/>
  <c r="S49"/>
  <c r="S55" s="1"/>
  <c r="S61" s="1"/>
  <c r="Q51"/>
  <c r="Q57" s="1"/>
  <c r="Q63" s="1"/>
  <c r="C63"/>
  <c r="O51"/>
  <c r="O57" s="1"/>
  <c r="P51"/>
  <c r="P57" s="1"/>
  <c r="P63" s="1"/>
  <c r="I57"/>
  <c r="I63" s="1"/>
  <c r="R51"/>
  <c r="R57" s="1"/>
  <c r="R63" s="1"/>
  <c r="P49"/>
  <c r="P55" s="1"/>
  <c r="P61" s="1"/>
  <c r="O49"/>
  <c r="I58"/>
  <c r="I60" s="1"/>
  <c r="I66" s="1"/>
  <c r="R49"/>
  <c r="R55" s="1"/>
  <c r="R61" s="1"/>
  <c r="L57"/>
  <c r="L63" s="1"/>
  <c r="S51"/>
  <c r="S57" s="1"/>
  <c r="S63" s="1"/>
  <c r="C58"/>
  <c r="C55"/>
  <c r="D59"/>
  <c r="D65" s="1"/>
  <c r="D56"/>
  <c r="D62" s="1"/>
  <c r="F58"/>
  <c r="F64" s="1"/>
  <c r="F55"/>
  <c r="F61" s="1"/>
  <c r="BN30" i="10"/>
  <c r="BN31" s="1"/>
  <c r="H60" i="4"/>
  <c r="H66" s="1"/>
  <c r="H64"/>
  <c r="J56"/>
  <c r="J62" s="1"/>
  <c r="J59"/>
  <c r="E60"/>
  <c r="E66" s="1"/>
  <c r="E64"/>
  <c r="G64"/>
  <c r="G60"/>
  <c r="G66" s="1"/>
  <c r="M60"/>
  <c r="M66" s="1"/>
  <c r="M64"/>
  <c r="C56"/>
  <c r="C62" s="1"/>
  <c r="C59"/>
  <c r="C65" s="1"/>
  <c r="D64"/>
  <c r="I64"/>
  <c r="N60"/>
  <c r="N66" s="1"/>
  <c r="N65"/>
  <c r="K64"/>
  <c r="K60"/>
  <c r="K66" s="1"/>
  <c r="P56"/>
  <c r="P62" s="1"/>
  <c r="P59"/>
  <c r="P65" s="1"/>
  <c r="F56"/>
  <c r="F62" s="1"/>
  <c r="H56"/>
  <c r="H62" s="1"/>
  <c r="M56"/>
  <c r="M62" s="1"/>
  <c r="Q59"/>
  <c r="Q65" s="1"/>
  <c r="N56"/>
  <c r="N62" s="1"/>
  <c r="K56"/>
  <c r="K62" s="1"/>
  <c r="I56"/>
  <c r="I62" s="1"/>
  <c r="G56"/>
  <c r="G62" s="1"/>
  <c r="E56"/>
  <c r="E62" s="1"/>
  <c r="L56"/>
  <c r="L62" s="1"/>
  <c r="E63"/>
  <c r="H55"/>
  <c r="H61" s="1"/>
  <c r="J63"/>
  <c r="E55"/>
  <c r="E61" s="1"/>
  <c r="G63"/>
  <c r="J55"/>
  <c r="J61" s="1"/>
  <c r="N55"/>
  <c r="N61" s="1"/>
  <c r="L55"/>
  <c r="L61" s="1"/>
  <c r="Q60"/>
  <c r="Q66" s="1"/>
  <c r="Q61"/>
  <c r="Q58"/>
  <c r="Q64" s="1"/>
  <c r="G55"/>
  <c r="G61" s="1"/>
  <c r="S58"/>
  <c r="S64" s="1"/>
  <c r="N63"/>
  <c r="M55"/>
  <c r="M61" s="1"/>
  <c r="D55"/>
  <c r="D61" s="1"/>
  <c r="H63"/>
  <c r="I55"/>
  <c r="I61" s="1"/>
  <c r="K63"/>
  <c r="M63"/>
  <c r="K55"/>
  <c r="K61" s="1"/>
  <c r="L30" i="10"/>
  <c r="G30"/>
  <c r="D60" i="4" l="1"/>
  <c r="D66" s="1"/>
  <c r="L60"/>
  <c r="L66" s="1"/>
  <c r="P60"/>
  <c r="P66" s="1"/>
  <c r="F60"/>
  <c r="F66" s="1"/>
  <c r="R59"/>
  <c r="R65" s="1"/>
  <c r="S60"/>
  <c r="S66" s="1"/>
  <c r="P58"/>
  <c r="P64" s="1"/>
  <c r="L64"/>
  <c r="S56"/>
  <c r="S62" s="1"/>
  <c r="U51"/>
  <c r="O55"/>
  <c r="O58"/>
  <c r="O64" s="1"/>
  <c r="R58"/>
  <c r="R64" s="1"/>
  <c r="R60"/>
  <c r="R66" s="1"/>
  <c r="O60"/>
  <c r="O66" s="1"/>
  <c r="C60"/>
  <c r="C66" s="1"/>
  <c r="C64"/>
  <c r="C61"/>
  <c r="J60"/>
  <c r="J66" s="1"/>
  <c r="J65"/>
  <c r="Q30" i="10"/>
  <c r="V30" l="1"/>
  <c r="AA30" l="1"/>
  <c r="AF30" l="1"/>
  <c r="AK30" l="1"/>
  <c r="AP30" l="1"/>
  <c r="AU30" l="1"/>
  <c r="AZ30" l="1"/>
  <c r="BE30" l="1"/>
  <c r="BJ30"/>
  <c r="BL30" l="1"/>
  <c r="BL31" s="1"/>
  <c r="O63" i="4"/>
  <c r="O56"/>
  <c r="O62" l="1"/>
  <c r="O61"/>
  <c r="AB14" i="10"/>
  <c r="BM14" s="1"/>
  <c r="BM15" s="1"/>
  <c r="AF10"/>
  <c r="AF14" s="1"/>
  <c r="AB15" l="1"/>
  <c r="AK10"/>
  <c r="AP10" l="1"/>
  <c r="AK14"/>
  <c r="AU10" l="1"/>
  <c r="AP14"/>
  <c r="AZ10" l="1"/>
  <c r="AU14"/>
  <c r="BE10" l="1"/>
  <c r="AZ14"/>
  <c r="BJ10" l="1"/>
  <c r="BJ14" s="1"/>
  <c r="BL10"/>
  <c r="BL14" s="1"/>
  <c r="BL15" s="1"/>
  <c r="BE14"/>
</calcChain>
</file>

<file path=xl/sharedStrings.xml><?xml version="1.0" encoding="utf-8"?>
<sst xmlns="http://schemas.openxmlformats.org/spreadsheetml/2006/main" count="3331" uniqueCount="424">
  <si>
    <t>Ceramics</t>
  </si>
  <si>
    <t>Concrete Roof</t>
  </si>
  <si>
    <t>Concrete Lightweight</t>
  </si>
  <si>
    <t>Gypsum</t>
  </si>
  <si>
    <t>Country</t>
  </si>
  <si>
    <t>Plant</t>
  </si>
  <si>
    <t>Indonesia</t>
  </si>
  <si>
    <t>SJW</t>
  </si>
  <si>
    <t>SLCI</t>
  </si>
  <si>
    <t>SICP</t>
  </si>
  <si>
    <t>SIGI</t>
  </si>
  <si>
    <t>SRMI</t>
  </si>
  <si>
    <t>SPPI</t>
  </si>
  <si>
    <t>KIA</t>
  </si>
  <si>
    <t>SSK</t>
  </si>
  <si>
    <t>KOKOH</t>
  </si>
  <si>
    <t>Tambang Semen Sukabumi</t>
  </si>
  <si>
    <t>Semen Lebak</t>
  </si>
  <si>
    <t>Pion Quarry Nusantara</t>
  </si>
  <si>
    <t>CBMI</t>
  </si>
  <si>
    <t>Vietnam</t>
  </si>
  <si>
    <t>VCM</t>
  </si>
  <si>
    <t>Buulong</t>
  </si>
  <si>
    <t>CRVC</t>
  </si>
  <si>
    <t>CPACVN</t>
  </si>
  <si>
    <t>Prime</t>
  </si>
  <si>
    <t>CBMV</t>
  </si>
  <si>
    <t>Cambodia</t>
  </si>
  <si>
    <t>KCC</t>
  </si>
  <si>
    <t>CRCC</t>
  </si>
  <si>
    <t>CPACC</t>
  </si>
  <si>
    <t>CPCC</t>
  </si>
  <si>
    <t>SCGL</t>
  </si>
  <si>
    <t>CBMC</t>
  </si>
  <si>
    <t>Laos</t>
  </si>
  <si>
    <t>KCL</t>
  </si>
  <si>
    <t>Myanmar</t>
  </si>
  <si>
    <t>MCL</t>
  </si>
  <si>
    <t>MCA</t>
  </si>
  <si>
    <t>CBMS</t>
  </si>
  <si>
    <t>Philippines</t>
  </si>
  <si>
    <t>SCGRPI</t>
  </si>
  <si>
    <t>MSC</t>
  </si>
  <si>
    <t>SMP</t>
  </si>
  <si>
    <t>Type</t>
  </si>
  <si>
    <t>Production</t>
  </si>
  <si>
    <t>Logistic</t>
  </si>
  <si>
    <t>Quarry (SJW)</t>
  </si>
  <si>
    <t>Quarry (SRMI)</t>
  </si>
  <si>
    <t>Office</t>
  </si>
  <si>
    <t>Energy</t>
  </si>
  <si>
    <t>Thermal</t>
  </si>
  <si>
    <t>Electricity</t>
  </si>
  <si>
    <t>Air</t>
  </si>
  <si>
    <t>Dust</t>
  </si>
  <si>
    <t>SOx</t>
  </si>
  <si>
    <t>NOx</t>
  </si>
  <si>
    <t>GHG</t>
  </si>
  <si>
    <t>Water</t>
  </si>
  <si>
    <t>Withdrawal</t>
  </si>
  <si>
    <t>Recycled</t>
  </si>
  <si>
    <t>Waste</t>
  </si>
  <si>
    <t>Products</t>
  </si>
  <si>
    <t>Cement</t>
  </si>
  <si>
    <t>Fibercement Roof</t>
  </si>
  <si>
    <t>Concrete Ready Mix</t>
  </si>
  <si>
    <t>Concrete Precast</t>
  </si>
  <si>
    <t>-</t>
  </si>
  <si>
    <t>Environmental Performance</t>
  </si>
  <si>
    <t>Raw Material</t>
  </si>
  <si>
    <t>Raw 
Material</t>
  </si>
  <si>
    <t>Yes</t>
  </si>
  <si>
    <t>No</t>
  </si>
  <si>
    <t>unit</t>
  </si>
  <si>
    <t xml:space="preserve"> Jan</t>
  </si>
  <si>
    <t xml:space="preserve"> Feb</t>
  </si>
  <si>
    <t xml:space="preserve"> Mar</t>
  </si>
  <si>
    <t xml:space="preserve"> Apr</t>
  </si>
  <si>
    <t xml:space="preserve"> May</t>
  </si>
  <si>
    <t xml:space="preserve"> Jun</t>
  </si>
  <si>
    <t xml:space="preserve"> Jul</t>
  </si>
  <si>
    <t xml:space="preserve"> Aug</t>
  </si>
  <si>
    <t xml:space="preserve"> Sep</t>
  </si>
  <si>
    <t xml:space="preserve"> Oct</t>
  </si>
  <si>
    <t xml:space="preserve"> Nov</t>
  </si>
  <si>
    <t xml:space="preserve"> Dec</t>
  </si>
  <si>
    <t xml:space="preserve"> YTD</t>
  </si>
  <si>
    <t>Q1</t>
  </si>
  <si>
    <t xml:space="preserve"> Q2</t>
  </si>
  <si>
    <t>Q3</t>
  </si>
  <si>
    <t>Q4</t>
  </si>
  <si>
    <t>ton</t>
  </si>
  <si>
    <t>m3</t>
  </si>
  <si>
    <t>m3/ton</t>
  </si>
  <si>
    <t>Water Withdrawal</t>
  </si>
  <si>
    <t>Water Recycle</t>
  </si>
  <si>
    <t>Co-generation (Power)</t>
  </si>
  <si>
    <t>Solar Cell (Renewable Energy)</t>
  </si>
  <si>
    <t>GJ</t>
  </si>
  <si>
    <t>GJ/MWh</t>
  </si>
  <si>
    <t>MWh</t>
  </si>
  <si>
    <t>Ton</t>
  </si>
  <si>
    <t>kg</t>
  </si>
  <si>
    <t>Litre</t>
  </si>
  <si>
    <t>Coal</t>
  </si>
  <si>
    <t>Lignite</t>
  </si>
  <si>
    <t>Natural Gas</t>
  </si>
  <si>
    <t>Co-generation (Heat)</t>
  </si>
  <si>
    <t>LPG</t>
  </si>
  <si>
    <t>Heavy fuel oil / Bunker oil</t>
  </si>
  <si>
    <t>Diesel</t>
  </si>
  <si>
    <t>Gasoline</t>
  </si>
  <si>
    <t>Steam</t>
  </si>
  <si>
    <t>Solid Biomass (Renewable Energy)</t>
  </si>
  <si>
    <t>SCG SD Office</t>
  </si>
  <si>
    <t>GJ/Ton</t>
  </si>
  <si>
    <t>GJ/MMBTU</t>
  </si>
  <si>
    <t>GJ/kg</t>
  </si>
  <si>
    <t>GJ/Litre</t>
  </si>
  <si>
    <t xml:space="preserve"> Conversion Factor</t>
  </si>
  <si>
    <t>GJ/ton</t>
  </si>
  <si>
    <t>Energy Consumption</t>
  </si>
  <si>
    <t>Energy Cost</t>
  </si>
  <si>
    <t>Shale</t>
  </si>
  <si>
    <t>Pyrophillyte</t>
  </si>
  <si>
    <t>Sand</t>
  </si>
  <si>
    <t>Laterite</t>
  </si>
  <si>
    <t>%</t>
  </si>
  <si>
    <t>% Alternative raw materials</t>
  </si>
  <si>
    <t>Limestone</t>
  </si>
  <si>
    <t>Clay</t>
  </si>
  <si>
    <t>Feldspar</t>
  </si>
  <si>
    <t>Aggregate</t>
  </si>
  <si>
    <t>Frit</t>
  </si>
  <si>
    <t>Gas Velocity</t>
  </si>
  <si>
    <t>Flow rate</t>
  </si>
  <si>
    <t>Dust Emission</t>
  </si>
  <si>
    <t>MM/YYYY</t>
  </si>
  <si>
    <t>m</t>
  </si>
  <si>
    <t>m/s</t>
  </si>
  <si>
    <t>kg/hr</t>
  </si>
  <si>
    <r>
      <t>๐</t>
    </r>
    <r>
      <rPr>
        <b/>
        <sz val="9"/>
        <rFont val="Tahoma"/>
        <family val="2"/>
      </rPr>
      <t>C</t>
    </r>
  </si>
  <si>
    <r>
      <t>m</t>
    </r>
    <r>
      <rPr>
        <b/>
        <vertAlign val="superscript"/>
        <sz val="9"/>
        <rFont val="Tahoma"/>
        <family val="2"/>
      </rPr>
      <t>3</t>
    </r>
    <r>
      <rPr>
        <b/>
        <sz val="9"/>
        <rFont val="Tahoma"/>
        <family val="2"/>
      </rPr>
      <t>/min</t>
    </r>
  </si>
  <si>
    <t>Diameter</t>
  </si>
  <si>
    <r>
      <t>mg/m</t>
    </r>
    <r>
      <rPr>
        <b/>
        <vertAlign val="superscript"/>
        <sz val="9"/>
        <rFont val="Tahoma"/>
        <family val="2"/>
      </rPr>
      <t>3</t>
    </r>
  </si>
  <si>
    <t>Stack No.</t>
  </si>
  <si>
    <t>Process</t>
  </si>
  <si>
    <t>Sampling 
(Month/Year)</t>
  </si>
  <si>
    <t>Stack 
Temperature</t>
  </si>
  <si>
    <t>Dust Emission 
rate</t>
  </si>
  <si>
    <t>Operation 
Hour</t>
  </si>
  <si>
    <r>
      <t>Dust Emission
Actual O</t>
    </r>
    <r>
      <rPr>
        <b/>
        <vertAlign val="subscript"/>
        <sz val="9"/>
        <rFont val="Tahoma"/>
        <family val="2"/>
      </rPr>
      <t>2</t>
    </r>
    <r>
      <rPr>
        <b/>
        <sz val="9"/>
        <rFont val="Tahoma"/>
        <family val="2"/>
      </rPr>
      <t xml:space="preserve">  </t>
    </r>
  </si>
  <si>
    <t>hr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</si>
  <si>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</si>
  <si>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</si>
  <si>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</si>
  <si>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</si>
  <si>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</si>
  <si>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</si>
  <si>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</si>
  <si>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</si>
  <si>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</si>
  <si>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</si>
  <si>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</si>
  <si>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</si>
  <si>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r>
      <t>Total SO</t>
    </r>
    <r>
      <rPr>
        <vertAlign val="subscript"/>
        <sz val="9"/>
        <color theme="1"/>
        <rFont val="Calibri"/>
        <family val="2"/>
        <scheme val="minor"/>
      </rPr>
      <t>x</t>
    </r>
    <r>
      <rPr>
        <sz val="9"/>
        <color theme="1"/>
        <rFont val="Calibri"/>
        <family val="2"/>
        <charset val="222"/>
        <scheme val="minor"/>
      </rPr>
      <t xml:space="preserve"> Emission</t>
    </r>
  </si>
  <si>
    <r>
      <t>SO</t>
    </r>
    <r>
      <rPr>
        <b/>
        <vertAlign val="subscript"/>
        <sz val="9"/>
        <rFont val="Tahoma"/>
        <family val="2"/>
      </rPr>
      <t>x</t>
    </r>
    <r>
      <rPr>
        <b/>
        <sz val="9"/>
        <rFont val="Tahoma"/>
        <family val="2"/>
      </rPr>
      <t xml:space="preserve"> Emission
Actual O</t>
    </r>
    <r>
      <rPr>
        <b/>
        <vertAlign val="subscript"/>
        <sz val="9"/>
        <rFont val="Tahoma"/>
        <family val="2"/>
      </rPr>
      <t>2</t>
    </r>
    <r>
      <rPr>
        <b/>
        <sz val="9"/>
        <rFont val="Tahoma"/>
        <family val="2"/>
      </rPr>
      <t xml:space="preserve">  </t>
    </r>
  </si>
  <si>
    <r>
      <t>SO</t>
    </r>
    <r>
      <rPr>
        <b/>
        <vertAlign val="subscript"/>
        <sz val="9"/>
        <rFont val="Tahoma"/>
        <family val="2"/>
      </rPr>
      <t>x</t>
    </r>
    <r>
      <rPr>
        <b/>
        <sz val="9"/>
        <rFont val="Tahoma"/>
        <family val="2"/>
      </rPr>
      <t xml:space="preserve">  Emission 
rate</t>
    </r>
  </si>
  <si>
    <r>
      <t>SO</t>
    </r>
    <r>
      <rPr>
        <b/>
        <vertAlign val="subscript"/>
        <sz val="9"/>
        <rFont val="Tahoma"/>
        <family val="2"/>
      </rPr>
      <t>x</t>
    </r>
    <r>
      <rPr>
        <b/>
        <sz val="9"/>
        <rFont val="Tahoma"/>
        <family val="2"/>
      </rPr>
      <t xml:space="preserve">  Emission</t>
    </r>
  </si>
  <si>
    <t>Total Dust Emission (kg)</t>
  </si>
  <si>
    <r>
      <t>Total NO</t>
    </r>
    <r>
      <rPr>
        <vertAlign val="subscript"/>
        <sz val="9"/>
        <color theme="1"/>
        <rFont val="Calibri"/>
        <family val="2"/>
        <scheme val="minor"/>
      </rPr>
      <t>x</t>
    </r>
    <r>
      <rPr>
        <sz val="9"/>
        <color theme="1"/>
        <rFont val="Calibri"/>
        <family val="2"/>
        <charset val="222"/>
        <scheme val="minor"/>
      </rPr>
      <t xml:space="preserve"> Emission</t>
    </r>
  </si>
  <si>
    <r>
      <t>NO</t>
    </r>
    <r>
      <rPr>
        <b/>
        <vertAlign val="subscript"/>
        <sz val="9"/>
        <rFont val="Tahoma"/>
        <family val="2"/>
      </rPr>
      <t>x</t>
    </r>
    <r>
      <rPr>
        <b/>
        <sz val="9"/>
        <rFont val="Tahoma"/>
        <family val="2"/>
      </rPr>
      <t xml:space="preserve"> Emission
Actual O</t>
    </r>
    <r>
      <rPr>
        <b/>
        <vertAlign val="subscript"/>
        <sz val="9"/>
        <rFont val="Tahoma"/>
        <family val="2"/>
      </rPr>
      <t>2</t>
    </r>
    <r>
      <rPr>
        <b/>
        <sz val="9"/>
        <rFont val="Tahoma"/>
        <family val="2"/>
      </rPr>
      <t xml:space="preserve">  </t>
    </r>
  </si>
  <si>
    <r>
      <t>NO</t>
    </r>
    <r>
      <rPr>
        <b/>
        <vertAlign val="subscript"/>
        <sz val="9"/>
        <rFont val="Tahoma"/>
        <family val="2"/>
      </rPr>
      <t>x</t>
    </r>
    <r>
      <rPr>
        <b/>
        <sz val="9"/>
        <rFont val="Tahoma"/>
        <family val="2"/>
      </rPr>
      <t xml:space="preserve">  Emission 
rate</t>
    </r>
  </si>
  <si>
    <r>
      <t>NO</t>
    </r>
    <r>
      <rPr>
        <b/>
        <vertAlign val="subscript"/>
        <sz val="9"/>
        <rFont val="Tahoma"/>
        <family val="2"/>
      </rPr>
      <t>x</t>
    </r>
    <r>
      <rPr>
        <b/>
        <sz val="9"/>
        <rFont val="Tahoma"/>
        <family val="2"/>
      </rPr>
      <t xml:space="preserve">  Emission</t>
    </r>
  </si>
  <si>
    <t>Acetylene</t>
  </si>
  <si>
    <r>
      <t xml:space="preserve">Calcium Carbonate </t>
    </r>
    <r>
      <rPr>
        <sz val="9"/>
        <color theme="1"/>
        <rFont val="Times New Roman"/>
        <family val="1"/>
      </rPr>
      <t>≥</t>
    </r>
    <r>
      <rPr>
        <sz val="9"/>
        <color theme="1"/>
        <rFont val="Calibri"/>
        <family val="2"/>
        <charset val="222"/>
        <scheme val="minor"/>
      </rPr>
      <t>900</t>
    </r>
    <r>
      <rPr>
        <vertAlign val="superscript"/>
        <sz val="9"/>
        <color theme="1"/>
        <rFont val="Calibri"/>
        <family val="2"/>
        <scheme val="minor"/>
      </rPr>
      <t>O</t>
    </r>
    <r>
      <rPr>
        <sz val="9"/>
        <color theme="1"/>
        <rFont val="Calibri"/>
        <family val="2"/>
        <charset val="222"/>
        <scheme val="minor"/>
      </rPr>
      <t>C (process)</t>
    </r>
  </si>
  <si>
    <t>LPG (Station)</t>
  </si>
  <si>
    <t>Average Flow of Anaerobic Wastewater</t>
  </si>
  <si>
    <t>mg COD/l</t>
  </si>
  <si>
    <t>Greenhouse Gas Emission</t>
  </si>
  <si>
    <t>Local Currency</t>
  </si>
  <si>
    <r>
      <t>kg CH</t>
    </r>
    <r>
      <rPr>
        <vertAlign val="subscript"/>
        <sz val="9"/>
        <color theme="1"/>
        <rFont val="Calibri"/>
        <family val="2"/>
        <scheme val="minor"/>
      </rPr>
      <t>4</t>
    </r>
  </si>
  <si>
    <r>
      <t>m</t>
    </r>
    <r>
      <rPr>
        <vertAlign val="superscript"/>
        <sz val="9"/>
        <color theme="1"/>
        <rFont val="Calibri"/>
        <family val="2"/>
        <scheme val="minor"/>
      </rPr>
      <t>3</t>
    </r>
    <r>
      <rPr>
        <sz val="9"/>
        <color theme="1"/>
        <rFont val="Calibri"/>
        <family val="2"/>
        <charset val="222"/>
        <scheme val="minor"/>
      </rPr>
      <t>/day</t>
    </r>
  </si>
  <si>
    <r>
      <t>kgCO</t>
    </r>
    <r>
      <rPr>
        <b/>
        <vertAlign val="subscript"/>
        <sz val="8"/>
        <color theme="1"/>
        <rFont val="Calibri"/>
        <family val="2"/>
        <scheme val="minor"/>
      </rPr>
      <t>2</t>
    </r>
    <r>
      <rPr>
        <b/>
        <sz val="8"/>
        <color theme="1"/>
        <rFont val="Calibri"/>
        <family val="2"/>
        <scheme val="minor"/>
      </rPr>
      <t>/ton</t>
    </r>
  </si>
  <si>
    <r>
      <t>Heat unit to kg CO</t>
    </r>
    <r>
      <rPr>
        <b/>
        <vertAlign val="subscript"/>
        <sz val="9"/>
        <color theme="1"/>
        <rFont val="Calibri"/>
        <family val="2"/>
        <scheme val="minor"/>
      </rPr>
      <t>2</t>
    </r>
    <r>
      <rPr>
        <b/>
        <sz val="9"/>
        <color theme="1"/>
        <rFont val="Calibri"/>
        <family val="2"/>
        <charset val="222"/>
        <scheme val="minor"/>
      </rPr>
      <t xml:space="preserve"> eq</t>
    </r>
  </si>
  <si>
    <r>
      <t>kgCO</t>
    </r>
    <r>
      <rPr>
        <vertAlign val="subscript"/>
        <sz val="8"/>
        <color theme="1"/>
        <rFont val="Calibri"/>
        <family val="2"/>
        <charset val="222"/>
        <scheme val="minor"/>
      </rPr>
      <t>2</t>
    </r>
    <r>
      <rPr>
        <sz val="8"/>
        <color theme="1"/>
        <rFont val="Calibri"/>
        <family val="2"/>
        <charset val="222"/>
        <scheme val="minor"/>
      </rPr>
      <t>eq/MWh</t>
    </r>
  </si>
  <si>
    <r>
      <t>kgCO</t>
    </r>
    <r>
      <rPr>
        <vertAlign val="subscript"/>
        <sz val="8"/>
        <color theme="1"/>
        <rFont val="Calibri"/>
        <family val="2"/>
        <charset val="222"/>
        <scheme val="minor"/>
      </rPr>
      <t>2</t>
    </r>
    <r>
      <rPr>
        <sz val="8"/>
        <color theme="1"/>
        <rFont val="Calibri"/>
        <family val="2"/>
        <charset val="222"/>
        <scheme val="minor"/>
      </rPr>
      <t>eq/Ton</t>
    </r>
  </si>
  <si>
    <r>
      <t>kgCO</t>
    </r>
    <r>
      <rPr>
        <vertAlign val="subscript"/>
        <sz val="6"/>
        <color theme="1"/>
        <rFont val="Calibri"/>
        <family val="2"/>
        <charset val="222"/>
        <scheme val="minor"/>
      </rPr>
      <t>2</t>
    </r>
    <r>
      <rPr>
        <sz val="6"/>
        <color theme="1"/>
        <rFont val="Calibri"/>
        <family val="2"/>
        <charset val="222"/>
        <scheme val="minor"/>
      </rPr>
      <t>eq/MMBTU</t>
    </r>
  </si>
  <si>
    <r>
      <t>kgCO</t>
    </r>
    <r>
      <rPr>
        <vertAlign val="subscript"/>
        <sz val="6"/>
        <color theme="1"/>
        <rFont val="Calibri"/>
        <family val="2"/>
        <charset val="222"/>
        <scheme val="minor"/>
      </rPr>
      <t>2</t>
    </r>
    <r>
      <rPr>
        <sz val="6"/>
        <color theme="1"/>
        <rFont val="Calibri"/>
        <family val="2"/>
        <charset val="222"/>
        <scheme val="minor"/>
      </rPr>
      <t>eq/Litre</t>
    </r>
  </si>
  <si>
    <t>LPG (Mobile)</t>
  </si>
  <si>
    <r>
      <t>kgCO</t>
    </r>
    <r>
      <rPr>
        <vertAlign val="subscript"/>
        <sz val="8"/>
        <color theme="1"/>
        <rFont val="Calibri"/>
        <family val="2"/>
        <charset val="222"/>
        <scheme val="minor"/>
      </rPr>
      <t>2</t>
    </r>
    <r>
      <rPr>
        <sz val="8"/>
        <color theme="1"/>
        <rFont val="Calibri"/>
        <family val="2"/>
        <charset val="222"/>
        <scheme val="minor"/>
      </rPr>
      <t>eq/kg</t>
    </r>
  </si>
  <si>
    <t>SOD CBM</t>
  </si>
  <si>
    <t>Heat unit to GJ (Energy)</t>
  </si>
  <si>
    <r>
      <t>kgCO</t>
    </r>
    <r>
      <rPr>
        <vertAlign val="subscript"/>
        <sz val="8"/>
        <color theme="1"/>
        <rFont val="Calibri"/>
        <family val="2"/>
        <charset val="222"/>
        <scheme val="minor"/>
      </rPr>
      <t>2</t>
    </r>
    <r>
      <rPr>
        <sz val="8"/>
        <color theme="1"/>
        <rFont val="Calibri"/>
        <family val="2"/>
        <charset val="222"/>
        <scheme val="minor"/>
      </rPr>
      <t>eq/kg CH</t>
    </r>
    <r>
      <rPr>
        <vertAlign val="subscript"/>
        <sz val="8"/>
        <color theme="1"/>
        <rFont val="Calibri"/>
        <family val="2"/>
        <scheme val="minor"/>
      </rPr>
      <t>4</t>
    </r>
  </si>
  <si>
    <t>Anaerobic Wastewater: Average of flow</t>
  </si>
  <si>
    <t>Anaerobic Wastewater: COD (Exit anaerobic zone)</t>
  </si>
  <si>
    <t>Anaerobic Wastewater: Summary</t>
  </si>
  <si>
    <t>Used oil</t>
  </si>
  <si>
    <t>Sludge</t>
  </si>
  <si>
    <t>Insulation</t>
  </si>
  <si>
    <t>Specific Hazardous Waste Generate (kg/ton)</t>
  </si>
  <si>
    <t>Waste Management</t>
  </si>
  <si>
    <t>Hazardous Waste</t>
  </si>
  <si>
    <t>Outgoing Stock
(Actual)</t>
  </si>
  <si>
    <t>Outgoing Stock
(Estimate)</t>
  </si>
  <si>
    <t>Waste generated
(Actual)</t>
  </si>
  <si>
    <t>Total Hazardous Waste Generate (ton)</t>
  </si>
  <si>
    <t>Others</t>
  </si>
  <si>
    <t>Limestone Powder</t>
  </si>
  <si>
    <t>Product Group</t>
  </si>
  <si>
    <t>Pottery 
Stone</t>
  </si>
  <si>
    <t>Recycled 
Mat</t>
  </si>
  <si>
    <t>Raw Materials</t>
  </si>
  <si>
    <t>Electronic equipment 
(light bulb/
battery)</t>
  </si>
  <si>
    <t>Package contaminated 
(Used paint can)</t>
  </si>
  <si>
    <t>Wooden Packaging (Pallet)</t>
  </si>
  <si>
    <t>Paper 
packaging</t>
  </si>
  <si>
    <t>Matelic 
Packaging</t>
  </si>
  <si>
    <t>Plastic 
packaging, (Wrap, Bigbag)</t>
  </si>
  <si>
    <t>Rubber</t>
  </si>
  <si>
    <t>Refractory</t>
  </si>
  <si>
    <t>Non Hazardous Waste</t>
  </si>
  <si>
    <t>Total Non Hazardous Waste Generate (ton)</t>
  </si>
  <si>
    <t>Specific Non Hazardous Waste Generate (kg/ton)</t>
  </si>
  <si>
    <t>-Synthesis Gypsum
-Slag
-Fly Ash (PHA)</t>
  </si>
  <si>
    <t>-Fly Ash (PHA)
-Recycle Aggregate</t>
  </si>
  <si>
    <t>Process Waste</t>
  </si>
  <si>
    <t>Testing Concrete</t>
  </si>
  <si>
    <t>Reject</t>
  </si>
  <si>
    <t>Pottery Stone</t>
  </si>
  <si>
    <t>%Oxygen</t>
  </si>
  <si>
    <t>From wastewater treatment</t>
  </si>
  <si>
    <t>Slump</t>
  </si>
  <si>
    <t>Ringgit</t>
  </si>
  <si>
    <t xml:space="preserve">COSEVCO
(Song Gianh) </t>
  </si>
  <si>
    <t>Specific Dust Emission (g/ton)</t>
  </si>
  <si>
    <r>
      <t>Specific SO</t>
    </r>
    <r>
      <rPr>
        <b/>
        <vertAlign val="subscript"/>
        <sz val="9"/>
        <color theme="1"/>
        <rFont val="Calibri"/>
        <family val="2"/>
        <scheme val="minor"/>
      </rPr>
      <t>x</t>
    </r>
    <r>
      <rPr>
        <b/>
        <sz val="9"/>
        <color theme="1"/>
        <rFont val="Calibri"/>
        <family val="2"/>
        <scheme val="minor"/>
      </rPr>
      <t xml:space="preserve"> Emission (g/ton)</t>
    </r>
  </si>
  <si>
    <r>
      <t>Specific NO</t>
    </r>
    <r>
      <rPr>
        <b/>
        <vertAlign val="subscript"/>
        <sz val="9"/>
        <color theme="1"/>
        <rFont val="Calibri"/>
        <family val="2"/>
        <scheme val="minor"/>
      </rPr>
      <t>x</t>
    </r>
    <r>
      <rPr>
        <b/>
        <sz val="9"/>
        <color theme="1"/>
        <rFont val="Calibri"/>
        <family val="2"/>
        <scheme val="minor"/>
      </rPr>
      <t xml:space="preserve"> Emission (g/ton)</t>
    </r>
  </si>
  <si>
    <t>Diesel oil (Mobile)</t>
  </si>
  <si>
    <t>Diesel oil (Station)</t>
  </si>
  <si>
    <t>Contaminated Cloth</t>
  </si>
  <si>
    <t>Clay/ Đất sét</t>
  </si>
  <si>
    <t>Sand/ Cát</t>
  </si>
  <si>
    <t>Gypsum/ Thạch cao</t>
  </si>
  <si>
    <t>Laterite/ Đá ong</t>
  </si>
  <si>
    <t>Cement/ Xi măng</t>
  </si>
  <si>
    <t>Aggregate/ Chất kết tụ</t>
  </si>
  <si>
    <t>Others/ Nguyên liệu khác</t>
  </si>
  <si>
    <t>Total raw materials/ Tổng nguyên liệu</t>
  </si>
  <si>
    <t>Coal/ Than</t>
  </si>
  <si>
    <t>Lignite/ Than non</t>
  </si>
  <si>
    <t>Natural Gas/ Khí gas tự nhiên</t>
  </si>
  <si>
    <t>Co-generation (Heat)/ Đồng phát nhiệt điện</t>
  </si>
  <si>
    <t>Heavy fuel oil / Bunker oil/ Dầu nặng hoặc dàu chạy tàu</t>
  </si>
  <si>
    <t>Steam/ Hơi nước</t>
  </si>
  <si>
    <t>Co-generation (Power)/ Năng lượng đồng phát nhiệt điện</t>
  </si>
  <si>
    <t>Solar Cell (Renewable Energy)/ Năng lượng mặt trời</t>
  </si>
  <si>
    <t>Acetylene (Station)/ Khí axetilen cho máy Oxi Axetilen</t>
  </si>
  <si>
    <r>
      <t xml:space="preserve">Calcium Carbonate </t>
    </r>
    <r>
      <rPr>
        <sz val="9"/>
        <color theme="1"/>
        <rFont val="Times New Roman"/>
        <family val="1"/>
      </rPr>
      <t>≥</t>
    </r>
    <r>
      <rPr>
        <sz val="9"/>
        <color theme="1"/>
        <rFont val="Calibri"/>
        <family val="2"/>
        <charset val="222"/>
        <scheme val="minor"/>
      </rPr>
      <t>900</t>
    </r>
    <r>
      <rPr>
        <vertAlign val="superscript"/>
        <sz val="9"/>
        <color theme="1"/>
        <rFont val="Calibri"/>
        <family val="2"/>
        <scheme val="minor"/>
      </rPr>
      <t>O</t>
    </r>
    <r>
      <rPr>
        <sz val="9"/>
        <color theme="1"/>
        <rFont val="Calibri"/>
        <family val="2"/>
        <charset val="222"/>
        <scheme val="minor"/>
      </rPr>
      <t>C (process)/ Bột CaCO3</t>
    </r>
  </si>
  <si>
    <t>Water Recycle/ Nước tái sử dụng</t>
  </si>
  <si>
    <t>Incoming Stock/ Tồn đầu</t>
  </si>
  <si>
    <t>Reuse/Recycle/ Tái sử dụng</t>
  </si>
  <si>
    <t>Incineration/ Chất thải đốt</t>
  </si>
  <si>
    <t>Landfill/ CHất thải chôn lấp</t>
  </si>
  <si>
    <t>Hazardous Waste (ton)/ CHẤT THẢI NGUY HẠI</t>
  </si>
  <si>
    <t>Non Hazardous Waste (ton)/ CHẤT THẢI THÔNG THƯỜNG</t>
  </si>
  <si>
    <t>Flow rate/ Lưu lượng</t>
  </si>
  <si>
    <t>Operation 
Hour/ Thời gian hoạt động</t>
  </si>
  <si>
    <t>Diameter/ Đường kính ống khói</t>
  </si>
  <si>
    <t>Dust Emission 
rate/ Tỉ lệ bụi</t>
  </si>
  <si>
    <r>
      <t>Dust Emission
Actual O</t>
    </r>
    <r>
      <rPr>
        <b/>
        <vertAlign val="subscript"/>
        <sz val="9"/>
        <rFont val="Tahoma"/>
        <family val="2"/>
      </rPr>
      <t>2/ Kết quả đo bụi</t>
    </r>
  </si>
  <si>
    <t>Dust/ Bụi</t>
  </si>
  <si>
    <t>Sox/ Khí Sox</t>
  </si>
  <si>
    <t>Nox</t>
  </si>
  <si>
    <t>Limestone/ Đá vôi (canxit)</t>
  </si>
  <si>
    <t>Diesel oil (Mobile) Dầu xe</t>
  </si>
  <si>
    <t>Waste generated/ Chất thải phát sinh</t>
  </si>
  <si>
    <t>Diesel oil (Station)/ Dầu cho máy phát điện</t>
  </si>
  <si>
    <t>LPG for Welding (Station)/ Gas cho máy cắt Oxi Axetilen (hàn)</t>
  </si>
  <si>
    <t>Sấy phun 1</t>
  </si>
  <si>
    <t>Sấy phun 2</t>
  </si>
  <si>
    <t>Ống khói lò nung xương 1,2</t>
  </si>
  <si>
    <t>Ống khói lò nung xương 3,4</t>
  </si>
  <si>
    <t>Ống khói lò nung xương 5,6</t>
  </si>
  <si>
    <t>Ống khói lò nung men số 1</t>
  </si>
  <si>
    <t>Ống khói lò nung men số 2</t>
  </si>
  <si>
    <t>Ống khói lò nung men số 3</t>
  </si>
  <si>
    <t>Ống khói lò nung men số 4</t>
  </si>
  <si>
    <t>Ống khói lò nung men số 5</t>
  </si>
  <si>
    <t>Ống khói lò nung men số 6</t>
  </si>
  <si>
    <t>Lignite/Than non</t>
  </si>
  <si>
    <t>LPG for Process used (Station)/ LPG dùng cho trạm (dùng cho lò nung)</t>
  </si>
  <si>
    <t>Gasoline (xăng bơm chữa cháy)</t>
  </si>
  <si>
    <t>Contaminated Cloth/ Bao gồm giẻ lau, gang tay dính hóa chất, dính dầu</t>
  </si>
  <si>
    <t>Used oil/ Tất cả các loại dầu đã qua sử dụng thải</t>
  </si>
  <si>
    <t>Electronic equipment / Các thiết bị điện thải bao gồm các thiết bị điện, các loại bóng đèn thải, ắc quy, pin hỏng</t>
  </si>
  <si>
    <t>Insulation/ Vật liệu cách nhiệt (amiăng thải, bông thủy tinh)</t>
  </si>
  <si>
    <t>Sludge/ Bùn</t>
  </si>
  <si>
    <t>Paper packaging/ Giấy bao bì, các loại giấy bỏ, cốt băng dính, bao bì catton, hộp catton</t>
  </si>
  <si>
    <t>Plastic packaging, (Wrap, Bigbag)/ Nhựa bao gồm các loại vật dụng làm từ nhựa bỏ</t>
  </si>
  <si>
    <t>Wooden Packaging (Pallet, gỗ củi)</t>
  </si>
  <si>
    <t>Rubber/ Cao su (bao gồm các loại dây cao su, dây đai cao su, một số đồ dùng cho sản xuất làm từ cao su)</t>
  </si>
  <si>
    <t>Refractory/ Gạch chịu lửa (Gạch lò tầng sôi,
 gạch xây lò nung, tháp sấy phun)</t>
  </si>
  <si>
    <t>Đất dính hóa chất</t>
  </si>
  <si>
    <t>iron waste (Sắt phế liệu)</t>
  </si>
  <si>
    <t>Cặn rắn từ quá trình sử lý men</t>
  </si>
  <si>
    <r>
      <t>Ton CO</t>
    </r>
    <r>
      <rPr>
        <vertAlign val="subscript"/>
        <sz val="9"/>
        <color theme="1"/>
        <rFont val="Calibri"/>
        <family val="2"/>
        <scheme val="minor"/>
      </rPr>
      <t>2</t>
    </r>
  </si>
  <si>
    <t>Other (Dây dù, Túi lọc bụi (filter bag))</t>
  </si>
  <si>
    <t>Production (DV Tile + YB Powder)</t>
  </si>
  <si>
    <t>Total Production (DV + YB)</t>
  </si>
  <si>
    <t>Coal/ Than 5A (DV)</t>
  </si>
  <si>
    <t>Coal/ Than 4A.1 (DV)</t>
  </si>
  <si>
    <t>Coal/ Than 5A (YB)</t>
  </si>
  <si>
    <t>Coal/ Than 4A.1 (YB)</t>
  </si>
  <si>
    <t>Total Coal YB</t>
  </si>
  <si>
    <t>Coal/ Than 5A (DV+YB)</t>
  </si>
  <si>
    <t>Coal/ Than 4A.1 (DV+YB)</t>
  </si>
  <si>
    <t>Coal/ Than import coal (DV+YB)</t>
  </si>
  <si>
    <t>Total Coal DV</t>
  </si>
  <si>
    <t>Electricity/ Điện (YB)</t>
  </si>
  <si>
    <t>Electricity/ Điện (DV)</t>
  </si>
  <si>
    <t>Total Electrical Consumption (YB)</t>
  </si>
  <si>
    <t>Total Electrical Consumption (DV)</t>
  </si>
  <si>
    <t>Total Renewable Energy (DV)</t>
  </si>
  <si>
    <t>Total Renewable Energy (YB)</t>
  </si>
  <si>
    <t>Anaerobic Wastewater: COD (Enter anaerobic zone)/ 
Nhu cầu Oxi để oxi hóa</t>
  </si>
  <si>
    <t>Total Water Withdrawal (DV+YB)</t>
  </si>
  <si>
    <t>Total Water Withdrawal (DV)</t>
  </si>
  <si>
    <t>Total Water Withdrawal (YB)</t>
  </si>
  <si>
    <t>Specific Water Withdrawal (DV+YB)</t>
  </si>
  <si>
    <t>Specific Water Withdrawal (DV)</t>
  </si>
  <si>
    <t>Specific Water Withdrawal (YB)</t>
  </si>
  <si>
    <t>Ground water (wells) (DV)</t>
  </si>
  <si>
    <t>cal/g</t>
  </si>
  <si>
    <r>
      <t>kgCO</t>
    </r>
    <r>
      <rPr>
        <vertAlign val="subscript"/>
        <sz val="8"/>
        <color theme="1"/>
        <rFont val="Calibri"/>
        <family val="2"/>
        <charset val="222"/>
        <scheme val="minor"/>
      </rPr>
      <t>2</t>
    </r>
    <r>
      <rPr>
        <sz val="8"/>
        <color theme="1"/>
        <rFont val="Calibri"/>
        <family val="2"/>
        <charset val="222"/>
        <scheme val="minor"/>
      </rPr>
      <t>eq/GJ</t>
    </r>
  </si>
  <si>
    <t>Mcal</t>
  </si>
  <si>
    <t>Total Thermal Consumption-Coal, Biomass (DV)</t>
  </si>
  <si>
    <t>Total Thermal Consumption-Coal, Biomass (YB)</t>
  </si>
  <si>
    <t>Total Energy Consumption-Coal, Biomass (DV)</t>
  </si>
  <si>
    <t>Total Energy Consumption-Coal, Biomass (YB)</t>
  </si>
  <si>
    <t>Specific Energy Consumption-Coal, Biomass (DV)</t>
  </si>
  <si>
    <t>Specific Energy Consumption-Coal, Biomass (YB)</t>
  </si>
  <si>
    <t>kgCO2/Mcal</t>
  </si>
  <si>
    <t>Production (DV Tile) (Sản phẩm ĐV)</t>
  </si>
  <si>
    <t>Production (YB Powder) (bột bán cho Yên Bình)</t>
  </si>
  <si>
    <t>Glazing (Men ướt nhập VP quy khô)</t>
  </si>
  <si>
    <t>Coal/ Than import coal (DV) (than nhập khẩu)</t>
  </si>
  <si>
    <t>Coal/ Than import coal (YB) (than nhập khẩu)</t>
  </si>
  <si>
    <t>Solid Biomass (YB) (Củi+rác đốt)</t>
  </si>
  <si>
    <t>Solid Biomass heating Value (Nhiệt trị)</t>
  </si>
  <si>
    <t>Solid Biomass (DV) (Củi+rác đốt là cây...)</t>
  </si>
  <si>
    <t>Surface water (Lake) (DV) (Nước mặt)</t>
  </si>
  <si>
    <t>Surface water (Lake) (YB) (Nước Mặt)</t>
  </si>
  <si>
    <t>Surface water (Lake) (DV+YB) (tổng nước mặt)</t>
  </si>
  <si>
    <t>Tap wate (DV) (Nước sạch)</t>
  </si>
  <si>
    <t>Nước rửa băng tải</t>
  </si>
  <si>
    <t>Package contaminated / Vỏ thùng sơn, vỏ thùng dính dầu thải, các loại bao bì nhựa hoặc kim loại dính hóa chất,</t>
  </si>
  <si>
    <t>Total Coal</t>
  </si>
  <si>
    <t>Coal Gas (DV) (Nhiệt trị theo phiếu kiểm tra)</t>
  </si>
  <si>
    <t>Coal Gas (YB) (Nhiệt trị theo phiếu kiểm tra)</t>
  </si>
  <si>
    <t>Total Coal Gas</t>
  </si>
  <si>
    <t>Total Solid Biomass</t>
  </si>
  <si>
    <t>Total Electricity</t>
  </si>
  <si>
    <t>Total Thermal Consumption-Coal, Biomass</t>
  </si>
  <si>
    <t>Total Electrical Consumption</t>
  </si>
  <si>
    <t>Total Renewable Energy</t>
  </si>
  <si>
    <t>Total Thermal Consumption-Coal Gas (DV)</t>
  </si>
  <si>
    <t>Total Thermal Consumption-Coal Gas (YB)</t>
  </si>
  <si>
    <t>Total Thermal Consumption-Coal Gas</t>
  </si>
  <si>
    <t>Total Energy Consumption-Coal, Biomass</t>
  </si>
  <si>
    <t>Total Energy Consumption-Coal Gas</t>
  </si>
  <si>
    <t>Total Energy Consumption-Coal Gas (DV)</t>
  </si>
  <si>
    <t>Total Energy Consumption-Coal Gas (YB)</t>
  </si>
  <si>
    <t>Specific Energy Consumption-Coal, Biomass</t>
  </si>
  <si>
    <t>Specific Energy Consumption-Coal Gas (DV)</t>
  </si>
  <si>
    <t>Specific Energy Consumption-Coal Gas (YB)</t>
  </si>
  <si>
    <t>Specific Energy Consumption-Coal Gas</t>
  </si>
  <si>
    <r>
      <t>Ton CO</t>
    </r>
    <r>
      <rPr>
        <b/>
        <vertAlign val="subscript"/>
        <sz val="9"/>
        <color theme="1"/>
        <rFont val="Calibri"/>
        <family val="2"/>
        <scheme val="minor"/>
      </rPr>
      <t>2</t>
    </r>
  </si>
  <si>
    <r>
      <t>kgCO</t>
    </r>
    <r>
      <rPr>
        <vertAlign val="subscript"/>
        <sz val="8"/>
        <color theme="1"/>
        <rFont val="Calibri"/>
        <family val="2"/>
        <scheme val="minor"/>
      </rPr>
      <t>2</t>
    </r>
    <r>
      <rPr>
        <sz val="8"/>
        <color theme="1"/>
        <rFont val="Calibri"/>
        <family val="2"/>
        <scheme val="minor"/>
      </rPr>
      <t>/ton</t>
    </r>
  </si>
  <si>
    <t>Coal Gas CO2 Conversion factor (DV)</t>
  </si>
  <si>
    <t>Coal Gas CO2 Conversion factor(YB)</t>
  </si>
  <si>
    <t>Total Coal Gas CO2 Conversion factor</t>
  </si>
  <si>
    <t>Total GHG Scope1-Coal</t>
  </si>
  <si>
    <t>Total GHG Scope1-Coal (DV)</t>
  </si>
  <si>
    <t>Total GHG Scope1-Coal (YB)</t>
  </si>
  <si>
    <t>Total GHG Scope1-Coal Gas (DV)</t>
  </si>
  <si>
    <t>Total GHG Scope1-Coal Gas (YB)</t>
  </si>
  <si>
    <t>Total GHG Scope1-Coal Gas</t>
  </si>
  <si>
    <t>Total GHG Scope2 (DV)</t>
  </si>
  <si>
    <t>Total GHG Scope2 (YB)</t>
  </si>
  <si>
    <t>Total GHG Scope2</t>
  </si>
  <si>
    <t>Specific GHG Scope1-Coal (YB)</t>
  </si>
  <si>
    <t>Specific GHG Scope1-Coal</t>
  </si>
  <si>
    <t>Specific GHG Scope1-Coal Gas (YB)</t>
  </si>
  <si>
    <t>Specific GHG Scope1-Coal Gas</t>
  </si>
  <si>
    <t>Specific GHG Scope2 (YB)</t>
  </si>
  <si>
    <t>Specific GHG Scope2</t>
  </si>
  <si>
    <t>Specific GHG Scope1-Coal (DV)</t>
  </si>
  <si>
    <t>Specific GHG Scope1-Coal Gas (DV)</t>
  </si>
  <si>
    <t>Specific GHG Scope2 (DV)</t>
  </si>
  <si>
    <r>
      <t>TonCO</t>
    </r>
    <r>
      <rPr>
        <vertAlign val="subscript"/>
        <sz val="8"/>
        <color theme="1"/>
        <rFont val="Calibri"/>
        <family val="2"/>
        <charset val="222"/>
        <scheme val="minor"/>
      </rPr>
      <t>2</t>
    </r>
    <r>
      <rPr>
        <sz val="8"/>
        <color theme="1"/>
        <rFont val="Calibri"/>
        <family val="2"/>
        <charset val="222"/>
        <scheme val="minor"/>
      </rPr>
      <t>eq/MWh</t>
    </r>
  </si>
  <si>
    <t>Coal Heating Value average</t>
  </si>
  <si>
    <t>Ko có nước ngầm</t>
  </si>
  <si>
    <t>Total Water Withdrawal</t>
  </si>
  <si>
    <t>Coal heating value 5A (Nhiệt trị theo báo cáo gửi ban NL)</t>
  </si>
  <si>
    <t>Coal heating value 4A.1 (lấy theo nhiệt trị của ban NL)</t>
  </si>
  <si>
    <t>Coal heating value import coal (Nhiệt trị theo ban NL)</t>
  </si>
  <si>
    <t>=</t>
  </si>
  <si>
    <t>Total (Jan-Dec)</t>
  </si>
  <si>
    <t>Waste generated</t>
  </si>
  <si>
    <t>Landfill</t>
  </si>
  <si>
    <t>Than cám qua sàng / Than 5A under screen DV</t>
  </si>
  <si>
    <t>Than cám qua sàng / Than 5A under screen YB</t>
  </si>
  <si>
    <t>Coal/ Than  5A under screen  (DV+YB)</t>
  </si>
  <si>
    <t>Coal heating value5A under screen  (Nhiệt trị theo ban NL)</t>
  </si>
  <si>
    <t>Con lăn hỏng</t>
  </si>
  <si>
    <t>Tiles after kiln, coal slag/ Gạch sau nung, sỉ than,</t>
  </si>
  <si>
    <t>29/9/2019</t>
  </si>
  <si>
    <t>2/12/2019</t>
  </si>
  <si>
    <r>
      <t xml:space="preserve">Recycled Mat/ Nguyên liệu tái sử dụng (gạch tái sử dụng+bột mài, bột liệu ép, </t>
    </r>
    <r>
      <rPr>
        <i/>
        <sz val="9"/>
        <color rgb="FFFF0000"/>
        <rFont val="Calibri"/>
        <family val="2"/>
        <scheme val="minor"/>
      </rPr>
      <t>xỉ than tái SD</t>
    </r>
    <r>
      <rPr>
        <sz val="9"/>
        <color theme="1"/>
        <rFont val="Calibri"/>
        <family val="2"/>
        <scheme val="minor"/>
      </rPr>
      <t>)</t>
    </r>
  </si>
  <si>
    <t>3/4/2020</t>
  </si>
  <si>
    <r>
      <t>Solid Biomass (DV) (Củi+rác đốt là cây…+</t>
    </r>
    <r>
      <rPr>
        <sz val="9"/>
        <color rgb="FFFF0000"/>
        <rFont val="Calibri"/>
        <family val="2"/>
        <scheme val="minor"/>
      </rPr>
      <t xml:space="preserve"> Gỗ băm)</t>
    </r>
  </si>
  <si>
    <t>8/6/2020</t>
  </si>
  <si>
    <t>20/8/2020</t>
  </si>
</sst>
</file>

<file path=xl/styles.xml><?xml version="1.0" encoding="utf-8"?>
<styleSheet xmlns="http://schemas.openxmlformats.org/spreadsheetml/2006/main">
  <numFmts count="10">
    <numFmt numFmtId="43" formatCode="_(* #,##0.00_);_(* \(#,##0.00\);_(* &quot;-&quot;??_);_(@_)"/>
    <numFmt numFmtId="164" formatCode="_-* #,##0.00_-;\-* #,##0.00_-;_-* &quot;-&quot;??_-;_-@_-"/>
    <numFmt numFmtId="165" formatCode="[$-409]mmm\-yy;@"/>
    <numFmt numFmtId="166" formatCode="_-* #,##0.0_-;\-* #,##0.0_-;_-* &quot;-&quot;??_-;_-@_-"/>
    <numFmt numFmtId="167" formatCode="_-* #,##0_-;\-* #,##0_-;_-* &quot;-&quot;??_-;_-@_-"/>
    <numFmt numFmtId="168" formatCode="[$-1010000]d/m/yyyy;@"/>
    <numFmt numFmtId="169" formatCode="0.0"/>
    <numFmt numFmtId="170" formatCode="_-* #,##0.000_-;\-* #,##0.000_-;_-* &quot;-&quot;??_-;_-@_-"/>
    <numFmt numFmtId="171" formatCode="_-* #,##0.00000_-;\-* #,##0.00000_-;_-* &quot;-&quot;??_-;_-@_-"/>
    <numFmt numFmtId="172" formatCode="_-* #,##0.0000_-;\-* #,##0.0000_-;_-* &quot;-&quot;??_-;_-@_-"/>
  </numFmts>
  <fonts count="36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charset val="222"/>
      <scheme val="minor"/>
    </font>
    <font>
      <sz val="9"/>
      <color theme="1"/>
      <name val="Calibri"/>
      <family val="2"/>
      <charset val="222"/>
      <scheme val="minor"/>
    </font>
    <font>
      <b/>
      <sz val="9"/>
      <color theme="1"/>
      <name val="Calibri"/>
      <family val="2"/>
      <charset val="222"/>
      <scheme val="minor"/>
    </font>
    <font>
      <b/>
      <sz val="9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name val="Tahoma"/>
      <family val="2"/>
    </font>
    <font>
      <b/>
      <vertAlign val="subscript"/>
      <sz val="9"/>
      <name val="Tahoma"/>
      <family val="2"/>
    </font>
    <font>
      <b/>
      <vertAlign val="superscript"/>
      <sz val="9"/>
      <name val="Tahoma"/>
      <family val="2"/>
    </font>
    <font>
      <sz val="9"/>
      <name val="Cordia New"/>
      <family val="2"/>
    </font>
    <font>
      <b/>
      <vertAlign val="subscript"/>
      <sz val="9"/>
      <color theme="1"/>
      <name val="Calibri"/>
      <family val="2"/>
      <scheme val="minor"/>
    </font>
    <font>
      <vertAlign val="subscript"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Times New Roman"/>
      <family val="1"/>
    </font>
    <font>
      <vertAlign val="superscript"/>
      <sz val="9"/>
      <color theme="1"/>
      <name val="Calibri"/>
      <family val="2"/>
      <scheme val="minor"/>
    </font>
    <font>
      <b/>
      <vertAlign val="subscript"/>
      <sz val="8"/>
      <color theme="1"/>
      <name val="Calibri"/>
      <family val="2"/>
      <scheme val="minor"/>
    </font>
    <font>
      <vertAlign val="subscript"/>
      <sz val="8"/>
      <color theme="1"/>
      <name val="Calibri"/>
      <family val="2"/>
      <charset val="222"/>
      <scheme val="minor"/>
    </font>
    <font>
      <sz val="6"/>
      <color theme="1"/>
      <name val="Calibri"/>
      <family val="2"/>
      <charset val="222"/>
      <scheme val="minor"/>
    </font>
    <font>
      <vertAlign val="subscript"/>
      <sz val="6"/>
      <color theme="1"/>
      <name val="Calibri"/>
      <family val="2"/>
      <charset val="222"/>
      <scheme val="minor"/>
    </font>
    <font>
      <vertAlign val="subscript"/>
      <sz val="8"/>
      <color theme="1"/>
      <name val="Calibri"/>
      <family val="2"/>
      <scheme val="minor"/>
    </font>
    <font>
      <b/>
      <sz val="6"/>
      <color theme="1"/>
      <name val="Calibri"/>
      <family val="2"/>
      <scheme val="minor"/>
    </font>
    <font>
      <sz val="9"/>
      <color rgb="FFFF0000"/>
      <name val="Calibri"/>
      <family val="2"/>
      <charset val="222"/>
      <scheme val="minor"/>
    </font>
    <font>
      <sz val="8"/>
      <color rgb="FFFF0000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b/>
      <sz val="9"/>
      <name val="Calibri"/>
      <family val="2"/>
      <charset val="222"/>
      <scheme val="minor"/>
    </font>
    <font>
      <sz val="9"/>
      <name val="Calibri"/>
      <family val="2"/>
      <charset val="222"/>
      <scheme val="minor"/>
    </font>
    <font>
      <b/>
      <sz val="9"/>
      <color rgb="FFFF0000"/>
      <name val="Calibri"/>
      <family val="2"/>
      <scheme val="minor"/>
    </font>
    <font>
      <b/>
      <sz val="9"/>
      <name val="Tahoma"/>
      <family val="2"/>
      <charset val="22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sz val="9"/>
      <color rgb="FFFF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8">
    <xf numFmtId="0" fontId="0" fillId="0" borderId="0"/>
    <xf numFmtId="0" fontId="6" fillId="0" borderId="0"/>
    <xf numFmtId="0" fontId="7" fillId="0" borderId="0"/>
    <xf numFmtId="0" fontId="6" fillId="0" borderId="0"/>
    <xf numFmtId="0" fontId="26" fillId="0" borderId="0"/>
    <xf numFmtId="164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1" fillId="0" borderId="0"/>
  </cellStyleXfs>
  <cellXfs count="263">
    <xf numFmtId="0" fontId="0" fillId="0" borderId="0" xfId="0"/>
    <xf numFmtId="0" fontId="3" fillId="2" borderId="0" xfId="0" applyFont="1" applyFill="1"/>
    <xf numFmtId="0" fontId="4" fillId="2" borderId="0" xfId="0" applyFont="1" applyFill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" xfId="0" applyFont="1" applyFill="1" applyBorder="1" applyAlignment="1">
      <alignment horizontal="left"/>
    </xf>
    <xf numFmtId="0" fontId="3" fillId="2" borderId="0" xfId="0" applyFont="1" applyFill="1" applyAlignment="1">
      <alignment horizontal="left"/>
    </xf>
    <xf numFmtId="0" fontId="4" fillId="3" borderId="1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23" fillId="3" borderId="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quotePrefix="1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4" applyFont="1" applyFill="1" applyBorder="1" applyAlignment="1">
      <alignment horizontal="left" vertical="center" wrapText="1"/>
    </xf>
    <xf numFmtId="0" fontId="3" fillId="2" borderId="1" xfId="4" applyFont="1" applyFill="1" applyBorder="1" applyAlignment="1">
      <alignment horizontal="center" vertical="center"/>
    </xf>
    <xf numFmtId="0" fontId="3" fillId="6" borderId="1" xfId="4" applyFont="1" applyFill="1" applyBorder="1" applyAlignment="1">
      <alignment horizontal="center" vertical="center"/>
    </xf>
    <xf numFmtId="0" fontId="3" fillId="2" borderId="1" xfId="4" applyFont="1" applyFill="1" applyBorder="1" applyAlignment="1">
      <alignment horizontal="left" vertical="center"/>
    </xf>
    <xf numFmtId="0" fontId="4" fillId="3" borderId="1" xfId="4" applyFont="1" applyFill="1" applyBorder="1" applyAlignment="1">
      <alignment horizontal="center"/>
    </xf>
    <xf numFmtId="0" fontId="4" fillId="2" borderId="0" xfId="4" applyFont="1" applyFill="1"/>
    <xf numFmtId="0" fontId="3" fillId="2" borderId="1" xfId="4" applyFont="1" applyFill="1" applyBorder="1"/>
    <xf numFmtId="0" fontId="3" fillId="2" borderId="0" xfId="4" applyFont="1" applyFill="1"/>
    <xf numFmtId="0" fontId="5" fillId="2" borderId="1" xfId="4" applyFont="1" applyFill="1" applyBorder="1"/>
    <xf numFmtId="0" fontId="5" fillId="2" borderId="0" xfId="4" applyFont="1" applyFill="1"/>
    <xf numFmtId="0" fontId="9" fillId="2" borderId="1" xfId="4" applyFont="1" applyFill="1" applyBorder="1" applyAlignment="1">
      <alignment horizontal="center" vertical="center" textRotation="90"/>
    </xf>
    <xf numFmtId="0" fontId="12" fillId="2" borderId="0" xfId="4" applyFont="1" applyFill="1" applyAlignment="1">
      <alignment vertical="center"/>
    </xf>
    <xf numFmtId="0" fontId="9" fillId="2" borderId="1" xfId="4" applyFont="1" applyFill="1" applyBorder="1" applyAlignment="1">
      <alignment horizontal="center" vertical="center" textRotation="90" wrapText="1"/>
    </xf>
    <xf numFmtId="0" fontId="9" fillId="4" borderId="1" xfId="4" applyFont="1" applyFill="1" applyBorder="1" applyAlignment="1">
      <alignment horizontal="center" vertical="center" textRotation="90"/>
    </xf>
    <xf numFmtId="0" fontId="9" fillId="4" borderId="1" xfId="4" applyFont="1" applyFill="1" applyBorder="1" applyAlignment="1">
      <alignment horizontal="center" vertical="center" textRotation="90" wrapText="1"/>
    </xf>
    <xf numFmtId="0" fontId="12" fillId="2" borderId="0" xfId="4" applyFont="1" applyFill="1"/>
    <xf numFmtId="0" fontId="9" fillId="2" borderId="1" xfId="4" applyFont="1" applyFill="1" applyBorder="1" applyAlignment="1">
      <alignment horizontal="center" vertical="center"/>
    </xf>
    <xf numFmtId="0" fontId="11" fillId="2" borderId="1" xfId="4" applyFont="1" applyFill="1" applyBorder="1" applyAlignment="1">
      <alignment horizontal="center" vertical="center"/>
    </xf>
    <xf numFmtId="0" fontId="9" fillId="4" borderId="1" xfId="4" applyFont="1" applyFill="1" applyBorder="1" applyAlignment="1">
      <alignment horizontal="center" vertical="center"/>
    </xf>
    <xf numFmtId="0" fontId="12" fillId="2" borderId="0" xfId="4" applyFont="1" applyFill="1" applyAlignment="1">
      <alignment horizontal="center" vertical="center"/>
    </xf>
    <xf numFmtId="0" fontId="3" fillId="5" borderId="4" xfId="4" applyFont="1" applyFill="1" applyBorder="1" applyAlignment="1"/>
    <xf numFmtId="0" fontId="3" fillId="5" borderId="3" xfId="4" applyFont="1" applyFill="1" applyBorder="1" applyAlignment="1"/>
    <xf numFmtId="164" fontId="5" fillId="4" borderId="1" xfId="5" applyFont="1" applyFill="1" applyBorder="1"/>
    <xf numFmtId="164" fontId="3" fillId="5" borderId="4" xfId="5" applyFont="1" applyFill="1" applyBorder="1" applyAlignment="1"/>
    <xf numFmtId="164" fontId="3" fillId="5" borderId="3" xfId="5" applyFont="1" applyFill="1" applyBorder="1" applyAlignment="1"/>
    <xf numFmtId="164" fontId="3" fillId="4" borderId="1" xfId="5" applyFont="1" applyFill="1" applyBorder="1" applyAlignment="1"/>
    <xf numFmtId="0" fontId="28" fillId="4" borderId="1" xfId="4" applyFont="1" applyFill="1" applyBorder="1"/>
    <xf numFmtId="0" fontId="28" fillId="2" borderId="1" xfId="4" applyFont="1" applyFill="1" applyBorder="1"/>
    <xf numFmtId="0" fontId="28" fillId="2" borderId="1" xfId="2" applyFont="1" applyFill="1" applyBorder="1"/>
    <xf numFmtId="0" fontId="28" fillId="2" borderId="0" xfId="4" applyFont="1" applyFill="1"/>
    <xf numFmtId="165" fontId="3" fillId="2" borderId="1" xfId="4" applyNumberFormat="1" applyFont="1" applyFill="1" applyBorder="1"/>
    <xf numFmtId="0" fontId="28" fillId="0" borderId="1" xfId="2" applyFont="1" applyFill="1" applyBorder="1"/>
    <xf numFmtId="0" fontId="4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center" vertical="center"/>
    </xf>
    <xf numFmtId="0" fontId="29" fillId="7" borderId="1" xfId="0" applyFont="1" applyFill="1" applyBorder="1" applyAlignment="1">
      <alignment horizontal="left" vertical="center"/>
    </xf>
    <xf numFmtId="0" fontId="29" fillId="7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9" fontId="5" fillId="4" borderId="1" xfId="6" applyFont="1" applyFill="1" applyBorder="1" applyAlignment="1">
      <alignment vertical="center"/>
    </xf>
    <xf numFmtId="167" fontId="3" fillId="4" borderId="1" xfId="5" applyNumberFormat="1" applyFont="1" applyFill="1" applyBorder="1"/>
    <xf numFmtId="0" fontId="28" fillId="2" borderId="1" xfId="4" applyFont="1" applyFill="1" applyBorder="1" applyAlignment="1">
      <alignment horizontal="center" vertical="center"/>
    </xf>
    <xf numFmtId="0" fontId="28" fillId="2" borderId="1" xfId="2" applyFont="1" applyFill="1" applyBorder="1" applyAlignment="1">
      <alignment horizontal="center" vertical="center"/>
    </xf>
    <xf numFmtId="0" fontId="28" fillId="4" borderId="1" xfId="4" applyFont="1" applyFill="1" applyBorder="1" applyAlignment="1">
      <alignment vertical="center"/>
    </xf>
    <xf numFmtId="0" fontId="28" fillId="2" borderId="1" xfId="4" applyFont="1" applyFill="1" applyBorder="1" applyAlignment="1">
      <alignment vertical="center"/>
    </xf>
    <xf numFmtId="0" fontId="28" fillId="2" borderId="0" xfId="4" applyFont="1" applyFill="1" applyAlignment="1">
      <alignment vertical="center"/>
    </xf>
    <xf numFmtId="0" fontId="28" fillId="2" borderId="1" xfId="2" applyFont="1" applyFill="1" applyBorder="1" applyAlignment="1">
      <alignment vertical="center"/>
    </xf>
    <xf numFmtId="2" fontId="3" fillId="2" borderId="0" xfId="4" applyNumberFormat="1" applyFont="1" applyFill="1"/>
    <xf numFmtId="0" fontId="9" fillId="4" borderId="1" xfId="4" applyFont="1" applyFill="1" applyBorder="1" applyAlignment="1">
      <alignment horizontal="center" vertical="center" textRotation="90" wrapText="1"/>
    </xf>
    <xf numFmtId="0" fontId="9" fillId="2" borderId="1" xfId="4" applyFont="1" applyFill="1" applyBorder="1" applyAlignment="1">
      <alignment horizontal="center" vertical="center" textRotation="90" wrapText="1"/>
    </xf>
    <xf numFmtId="167" fontId="3" fillId="4" borderId="5" xfId="5" applyNumberFormat="1" applyFont="1" applyFill="1" applyBorder="1"/>
    <xf numFmtId="0" fontId="5" fillId="4" borderId="1" xfId="5" applyNumberFormat="1" applyFont="1" applyFill="1" applyBorder="1"/>
    <xf numFmtId="167" fontId="3" fillId="2" borderId="1" xfId="5" applyNumberFormat="1" applyFont="1" applyFill="1" applyBorder="1"/>
    <xf numFmtId="167" fontId="28" fillId="2" borderId="1" xfId="5" applyNumberFormat="1" applyFont="1" applyFill="1" applyBorder="1" applyAlignment="1">
      <alignment vertical="center"/>
    </xf>
    <xf numFmtId="169" fontId="28" fillId="2" borderId="1" xfId="4" applyNumberFormat="1" applyFont="1" applyFill="1" applyBorder="1"/>
    <xf numFmtId="0" fontId="15" fillId="2" borderId="1" xfId="0" applyFont="1" applyFill="1" applyBorder="1" applyAlignment="1">
      <alignment horizontal="left" vertical="center"/>
    </xf>
    <xf numFmtId="0" fontId="15" fillId="2" borderId="1" xfId="0" applyFont="1" applyFill="1" applyBorder="1" applyAlignment="1">
      <alignment horizontal="left" vertical="center" wrapText="1"/>
    </xf>
    <xf numFmtId="164" fontId="28" fillId="2" borderId="1" xfId="5" applyFont="1" applyFill="1" applyBorder="1"/>
    <xf numFmtId="164" fontId="3" fillId="2" borderId="1" xfId="5" applyFont="1" applyFill="1" applyBorder="1"/>
    <xf numFmtId="167" fontId="24" fillId="2" borderId="1" xfId="5" applyNumberFormat="1" applyFont="1" applyFill="1" applyBorder="1"/>
    <xf numFmtId="167" fontId="3" fillId="10" borderId="1" xfId="5" applyNumberFormat="1" applyFont="1" applyFill="1" applyBorder="1"/>
    <xf numFmtId="167" fontId="28" fillId="10" borderId="1" xfId="5" applyNumberFormat="1" applyFont="1" applyFill="1" applyBorder="1"/>
    <xf numFmtId="0" fontId="27" fillId="2" borderId="0" xfId="4" applyFont="1" applyFill="1" applyAlignment="1">
      <alignment vertical="center"/>
    </xf>
    <xf numFmtId="0" fontId="30" fillId="2" borderId="1" xfId="4" applyFont="1" applyFill="1" applyBorder="1" applyAlignment="1">
      <alignment horizontal="center" vertical="center" textRotation="90"/>
    </xf>
    <xf numFmtId="0" fontId="28" fillId="0" borderId="1" xfId="4" applyFont="1" applyFill="1" applyBorder="1" applyAlignment="1">
      <alignment vertical="center" wrapText="1"/>
    </xf>
    <xf numFmtId="0" fontId="28" fillId="4" borderId="1" xfId="2" applyFont="1" applyFill="1" applyBorder="1" applyAlignment="1">
      <alignment horizontal="center" vertical="center"/>
    </xf>
    <xf numFmtId="0" fontId="28" fillId="0" borderId="1" xfId="2" applyFont="1" applyFill="1" applyBorder="1" applyAlignment="1">
      <alignment horizontal="center" vertical="center"/>
    </xf>
    <xf numFmtId="0" fontId="28" fillId="4" borderId="0" xfId="4" applyFont="1" applyFill="1" applyAlignment="1">
      <alignment vertical="center"/>
    </xf>
    <xf numFmtId="0" fontId="28" fillId="0" borderId="1" xfId="4" applyFont="1" applyFill="1" applyBorder="1" applyAlignment="1">
      <alignment wrapText="1"/>
    </xf>
    <xf numFmtId="0" fontId="27" fillId="2" borderId="1" xfId="4" applyFont="1" applyFill="1" applyBorder="1"/>
    <xf numFmtId="164" fontId="27" fillId="5" borderId="1" xfId="5" applyFont="1" applyFill="1" applyBorder="1"/>
    <xf numFmtId="164" fontId="27" fillId="4" borderId="1" xfId="5" applyFont="1" applyFill="1" applyBorder="1"/>
    <xf numFmtId="0" fontId="27" fillId="2" borderId="0" xfId="4" applyFont="1" applyFill="1"/>
    <xf numFmtId="0" fontId="28" fillId="0" borderId="1" xfId="4" applyFont="1" applyFill="1" applyBorder="1" applyAlignment="1">
      <alignment vertical="center"/>
    </xf>
    <xf numFmtId="0" fontId="27" fillId="2" borderId="1" xfId="4" applyFont="1" applyFill="1" applyBorder="1" applyAlignment="1">
      <alignment vertical="center"/>
    </xf>
    <xf numFmtId="164" fontId="27" fillId="5" borderId="1" xfId="5" applyFont="1" applyFill="1" applyBorder="1" applyAlignment="1">
      <alignment vertical="center"/>
    </xf>
    <xf numFmtId="164" fontId="27" fillId="4" borderId="1" xfId="5" applyFont="1" applyFill="1" applyBorder="1" applyAlignment="1">
      <alignment vertical="center"/>
    </xf>
    <xf numFmtId="0" fontId="28" fillId="2" borderId="1" xfId="4" applyFont="1" applyFill="1" applyBorder="1" applyAlignment="1">
      <alignment wrapText="1"/>
    </xf>
    <xf numFmtId="0" fontId="28" fillId="2" borderId="1" xfId="4" applyFont="1" applyFill="1" applyBorder="1" applyAlignment="1">
      <alignment vertical="center" wrapText="1"/>
    </xf>
    <xf numFmtId="0" fontId="28" fillId="10" borderId="1" xfId="4" applyFont="1" applyFill="1" applyBorder="1"/>
    <xf numFmtId="166" fontId="28" fillId="2" borderId="1" xfId="5" applyNumberFormat="1" applyFont="1" applyFill="1" applyBorder="1"/>
    <xf numFmtId="166" fontId="3" fillId="2" borderId="1" xfId="5" applyNumberFormat="1" applyFont="1" applyFill="1" applyBorder="1"/>
    <xf numFmtId="0" fontId="3" fillId="10" borderId="1" xfId="4" applyFont="1" applyFill="1" applyBorder="1"/>
    <xf numFmtId="0" fontId="5" fillId="2" borderId="1" xfId="0" quotePrefix="1" applyFont="1" applyFill="1" applyBorder="1" applyAlignment="1">
      <alignment horizontal="left" vertical="center" wrapText="1"/>
    </xf>
    <xf numFmtId="167" fontId="3" fillId="2" borderId="1" xfId="5" applyNumberFormat="1" applyFont="1" applyFill="1" applyBorder="1" applyAlignment="1">
      <alignment horizontal="center" vertical="center"/>
    </xf>
    <xf numFmtId="167" fontId="28" fillId="4" borderId="1" xfId="5" applyNumberFormat="1" applyFont="1" applyFill="1" applyBorder="1" applyAlignment="1">
      <alignment horizontal="center" vertical="center"/>
    </xf>
    <xf numFmtId="167" fontId="3" fillId="2" borderId="1" xfId="5" applyNumberFormat="1" applyFont="1" applyFill="1" applyBorder="1" applyAlignment="1">
      <alignment vertical="center"/>
    </xf>
    <xf numFmtId="167" fontId="3" fillId="0" borderId="0" xfId="5" applyNumberFormat="1" applyFont="1" applyFill="1" applyAlignment="1">
      <alignment vertical="center"/>
    </xf>
    <xf numFmtId="167" fontId="3" fillId="2" borderId="0" xfId="5" applyNumberFormat="1" applyFont="1" applyFill="1" applyAlignment="1">
      <alignment vertical="center"/>
    </xf>
    <xf numFmtId="167" fontId="4" fillId="3" borderId="1" xfId="5" applyNumberFormat="1" applyFont="1" applyFill="1" applyBorder="1" applyAlignment="1">
      <alignment horizontal="center" vertical="center"/>
    </xf>
    <xf numFmtId="167" fontId="3" fillId="4" borderId="1" xfId="5" applyNumberFormat="1" applyFont="1" applyFill="1" applyBorder="1" applyAlignment="1">
      <alignment horizontal="center" vertical="center"/>
    </xf>
    <xf numFmtId="167" fontId="28" fillId="0" borderId="1" xfId="5" applyNumberFormat="1" applyFont="1" applyFill="1" applyBorder="1"/>
    <xf numFmtId="167" fontId="28" fillId="0" borderId="5" xfId="5" applyNumberFormat="1" applyFont="1" applyFill="1" applyBorder="1"/>
    <xf numFmtId="167" fontId="28" fillId="2" borderId="1" xfId="5" applyNumberFormat="1" applyFont="1" applyFill="1" applyBorder="1"/>
    <xf numFmtId="167" fontId="4" fillId="3" borderId="7" xfId="5" applyNumberFormat="1" applyFont="1" applyFill="1" applyBorder="1" applyAlignment="1">
      <alignment vertical="center"/>
    </xf>
    <xf numFmtId="167" fontId="4" fillId="3" borderId="6" xfId="5" applyNumberFormat="1" applyFont="1" applyFill="1" applyBorder="1" applyAlignment="1">
      <alignment vertical="center"/>
    </xf>
    <xf numFmtId="167" fontId="5" fillId="4" borderId="1" xfId="5" applyNumberFormat="1" applyFont="1" applyFill="1" applyBorder="1"/>
    <xf numFmtId="167" fontId="3" fillId="2" borderId="0" xfId="5" applyNumberFormat="1" applyFont="1" applyFill="1" applyBorder="1"/>
    <xf numFmtId="167" fontId="4" fillId="3" borderId="5" xfId="5" applyNumberFormat="1" applyFont="1" applyFill="1" applyBorder="1" applyAlignment="1">
      <alignment horizontal="center"/>
    </xf>
    <xf numFmtId="167" fontId="3" fillId="2" borderId="5" xfId="5" applyNumberFormat="1" applyFont="1" applyFill="1" applyBorder="1"/>
    <xf numFmtId="167" fontId="3" fillId="0" borderId="5" xfId="5" applyNumberFormat="1" applyFont="1" applyFill="1" applyBorder="1"/>
    <xf numFmtId="164" fontId="5" fillId="4" borderId="1" xfId="5" applyNumberFormat="1" applyFont="1" applyFill="1" applyBorder="1"/>
    <xf numFmtId="167" fontId="28" fillId="4" borderId="1" xfId="5" applyNumberFormat="1" applyFont="1" applyFill="1" applyBorder="1"/>
    <xf numFmtId="164" fontId="3" fillId="4" borderId="1" xfId="5" applyNumberFormat="1" applyFont="1" applyFill="1" applyBorder="1"/>
    <xf numFmtId="167" fontId="3" fillId="2" borderId="0" xfId="5" applyNumberFormat="1" applyFont="1" applyFill="1"/>
    <xf numFmtId="164" fontId="15" fillId="4" borderId="1" xfId="5" applyNumberFormat="1" applyFont="1" applyFill="1" applyBorder="1"/>
    <xf numFmtId="0" fontId="3" fillId="4" borderId="1" xfId="5" applyNumberFormat="1" applyFont="1" applyFill="1" applyBorder="1"/>
    <xf numFmtId="165" fontId="3" fillId="7" borderId="1" xfId="4" quotePrefix="1" applyNumberFormat="1" applyFont="1" applyFill="1" applyBorder="1"/>
    <xf numFmtId="0" fontId="28" fillId="7" borderId="1" xfId="2" applyFont="1" applyFill="1" applyBorder="1"/>
    <xf numFmtId="164" fontId="28" fillId="7" borderId="1" xfId="5" applyFont="1" applyFill="1" applyBorder="1"/>
    <xf numFmtId="164" fontId="28" fillId="8" borderId="1" xfId="5" applyFont="1" applyFill="1" applyBorder="1"/>
    <xf numFmtId="164" fontId="3" fillId="4" borderId="1" xfId="5" applyFont="1" applyFill="1" applyBorder="1"/>
    <xf numFmtId="167" fontId="28" fillId="2" borderId="5" xfId="5" applyNumberFormat="1" applyFont="1" applyFill="1" applyBorder="1"/>
    <xf numFmtId="167" fontId="4" fillId="3" borderId="5" xfId="5" applyNumberFormat="1" applyFont="1" applyFill="1" applyBorder="1" applyAlignment="1">
      <alignment horizontal="center" vertical="center"/>
    </xf>
    <xf numFmtId="167" fontId="4" fillId="2" borderId="0" xfId="5" applyNumberFormat="1" applyFont="1" applyFill="1"/>
    <xf numFmtId="167" fontId="3" fillId="0" borderId="0" xfId="5" applyNumberFormat="1" applyFont="1" applyFill="1"/>
    <xf numFmtId="167" fontId="3" fillId="0" borderId="1" xfId="5" applyNumberFormat="1" applyFont="1" applyFill="1" applyBorder="1"/>
    <xf numFmtId="167" fontId="5" fillId="2" borderId="0" xfId="5" applyNumberFormat="1" applyFont="1" applyFill="1"/>
    <xf numFmtId="167" fontId="15" fillId="4" borderId="1" xfId="5" applyNumberFormat="1" applyFont="1" applyFill="1" applyBorder="1"/>
    <xf numFmtId="167" fontId="3" fillId="0" borderId="5" xfId="5" applyNumberFormat="1" applyFont="1" applyFill="1" applyBorder="1" applyAlignment="1">
      <alignment wrapText="1"/>
    </xf>
    <xf numFmtId="167" fontId="3" fillId="5" borderId="1" xfId="5" applyNumberFormat="1" applyFont="1" applyFill="1" applyBorder="1"/>
    <xf numFmtId="167" fontId="2" fillId="0" borderId="1" xfId="5" applyNumberFormat="1" applyFont="1" applyFill="1" applyBorder="1"/>
    <xf numFmtId="167" fontId="2" fillId="2" borderId="1" xfId="5" applyNumberFormat="1" applyFont="1" applyFill="1" applyBorder="1"/>
    <xf numFmtId="167" fontId="20" fillId="0" borderId="1" xfId="5" applyNumberFormat="1" applyFont="1" applyFill="1" applyBorder="1"/>
    <xf numFmtId="167" fontId="25" fillId="2" borderId="1" xfId="5" applyNumberFormat="1" applyFont="1" applyFill="1" applyBorder="1"/>
    <xf numFmtId="167" fontId="31" fillId="4" borderId="1" xfId="5" applyNumberFormat="1" applyFont="1" applyFill="1" applyBorder="1"/>
    <xf numFmtId="167" fontId="5" fillId="0" borderId="0" xfId="5" applyNumberFormat="1" applyFont="1" applyFill="1"/>
    <xf numFmtId="167" fontId="32" fillId="4" borderId="1" xfId="5" applyNumberFormat="1" applyFont="1" applyFill="1" applyBorder="1"/>
    <xf numFmtId="167" fontId="5" fillId="4" borderId="5" xfId="5" applyNumberFormat="1" applyFont="1" applyFill="1" applyBorder="1"/>
    <xf numFmtId="167" fontId="15" fillId="2" borderId="0" xfId="5" applyNumberFormat="1" applyFont="1" applyFill="1"/>
    <xf numFmtId="167" fontId="8" fillId="4" borderId="1" xfId="5" applyNumberFormat="1" applyFont="1" applyFill="1" applyBorder="1"/>
    <xf numFmtId="167" fontId="15" fillId="4" borderId="5" xfId="5" applyNumberFormat="1" applyFont="1" applyFill="1" applyBorder="1"/>
    <xf numFmtId="167" fontId="33" fillId="4" borderId="1" xfId="5" applyNumberFormat="1" applyFont="1" applyFill="1" applyBorder="1"/>
    <xf numFmtId="170" fontId="28" fillId="2" borderId="1" xfId="5" applyNumberFormat="1" applyFont="1" applyFill="1" applyBorder="1"/>
    <xf numFmtId="170" fontId="28" fillId="0" borderId="1" xfId="5" applyNumberFormat="1" applyFont="1" applyFill="1" applyBorder="1"/>
    <xf numFmtId="170" fontId="31" fillId="4" borderId="1" xfId="5" applyNumberFormat="1" applyFont="1" applyFill="1" applyBorder="1"/>
    <xf numFmtId="0" fontId="3" fillId="8" borderId="0" xfId="4" applyFont="1" applyFill="1"/>
    <xf numFmtId="0" fontId="4" fillId="3" borderId="6" xfId="4" applyFont="1" applyFill="1" applyBorder="1" applyAlignment="1">
      <alignment horizontal="center"/>
    </xf>
    <xf numFmtId="0" fontId="4" fillId="3" borderId="0" xfId="4" applyFont="1" applyFill="1" applyBorder="1" applyAlignment="1">
      <alignment horizontal="center"/>
    </xf>
    <xf numFmtId="0" fontId="3" fillId="2" borderId="0" xfId="4" applyFont="1" applyFill="1" applyBorder="1"/>
    <xf numFmtId="167" fontId="15" fillId="2" borderId="0" xfId="5" applyNumberFormat="1" applyFont="1" applyFill="1" applyBorder="1"/>
    <xf numFmtId="164" fontId="15" fillId="2" borderId="0" xfId="5" applyNumberFormat="1" applyFont="1" applyFill="1" applyBorder="1"/>
    <xf numFmtId="167" fontId="15" fillId="2" borderId="0" xfId="5" applyNumberFormat="1" applyFont="1" applyFill="1" applyBorder="1" applyAlignment="1">
      <alignment horizontal="center" vertical="center"/>
    </xf>
    <xf numFmtId="167" fontId="32" fillId="2" borderId="0" xfId="5" applyNumberFormat="1" applyFont="1" applyFill="1" applyBorder="1"/>
    <xf numFmtId="167" fontId="15" fillId="0" borderId="0" xfId="5" applyNumberFormat="1" applyFont="1" applyFill="1"/>
    <xf numFmtId="167" fontId="15" fillId="2" borderId="0" xfId="5" quotePrefix="1" applyNumberFormat="1" applyFont="1" applyFill="1" applyBorder="1"/>
    <xf numFmtId="164" fontId="15" fillId="2" borderId="0" xfId="5" applyFont="1" applyFill="1"/>
    <xf numFmtId="171" fontId="15" fillId="2" borderId="0" xfId="5" applyNumberFormat="1" applyFont="1" applyFill="1"/>
    <xf numFmtId="167" fontId="15" fillId="2" borderId="0" xfId="5" applyNumberFormat="1" applyFont="1" applyFill="1" applyBorder="1" applyAlignment="1">
      <alignment vertical="center"/>
    </xf>
    <xf numFmtId="167" fontId="15" fillId="0" borderId="0" xfId="5" applyNumberFormat="1" applyFont="1" applyFill="1" applyBorder="1"/>
    <xf numFmtId="0" fontId="3" fillId="5" borderId="1" xfId="4" applyFont="1" applyFill="1" applyBorder="1"/>
    <xf numFmtId="164" fontId="27" fillId="2" borderId="1" xfId="4" applyNumberFormat="1" applyFont="1" applyFill="1" applyBorder="1"/>
    <xf numFmtId="164" fontId="28" fillId="7" borderId="1" xfId="5" applyFont="1" applyFill="1" applyBorder="1" applyAlignment="1">
      <alignment vertical="center"/>
    </xf>
    <xf numFmtId="167" fontId="3" fillId="7" borderId="1" xfId="5" applyNumberFormat="1" applyFont="1" applyFill="1" applyBorder="1"/>
    <xf numFmtId="167" fontId="28" fillId="7" borderId="1" xfId="5" applyNumberFormat="1" applyFont="1" applyFill="1" applyBorder="1"/>
    <xf numFmtId="165" fontId="3" fillId="0" borderId="1" xfId="4" applyNumberFormat="1" applyFont="1" applyFill="1" applyBorder="1"/>
    <xf numFmtId="164" fontId="28" fillId="0" borderId="1" xfId="5" applyFont="1" applyFill="1" applyBorder="1"/>
    <xf numFmtId="166" fontId="28" fillId="0" borderId="1" xfId="5" applyNumberFormat="1" applyFont="1" applyFill="1" applyBorder="1"/>
    <xf numFmtId="164" fontId="3" fillId="0" borderId="1" xfId="5" applyFont="1" applyFill="1" applyBorder="1"/>
    <xf numFmtId="0" fontId="28" fillId="0" borderId="1" xfId="4" applyFont="1" applyFill="1" applyBorder="1"/>
    <xf numFmtId="166" fontId="3" fillId="0" borderId="1" xfId="5" applyNumberFormat="1" applyFont="1" applyFill="1" applyBorder="1"/>
    <xf numFmtId="1" fontId="28" fillId="0" borderId="1" xfId="4" applyNumberFormat="1" applyFont="1" applyFill="1" applyBorder="1"/>
    <xf numFmtId="0" fontId="3" fillId="0" borderId="1" xfId="4" applyFont="1" applyFill="1" applyBorder="1"/>
    <xf numFmtId="165" fontId="3" fillId="0" borderId="1" xfId="4" quotePrefix="1" applyNumberFormat="1" applyFont="1" applyFill="1" applyBorder="1"/>
    <xf numFmtId="1" fontId="3" fillId="2" borderId="1" xfId="4" applyNumberFormat="1" applyFont="1" applyFill="1" applyBorder="1"/>
    <xf numFmtId="1" fontId="3" fillId="0" borderId="1" xfId="4" applyNumberFormat="1" applyFont="1" applyFill="1" applyBorder="1"/>
    <xf numFmtId="168" fontId="3" fillId="0" borderId="1" xfId="4" applyNumberFormat="1" applyFont="1" applyFill="1" applyBorder="1"/>
    <xf numFmtId="167" fontId="3" fillId="11" borderId="1" xfId="5" applyNumberFormat="1" applyFont="1" applyFill="1" applyBorder="1"/>
    <xf numFmtId="167" fontId="28" fillId="11" borderId="1" xfId="5" applyNumberFormat="1" applyFont="1" applyFill="1" applyBorder="1"/>
    <xf numFmtId="164" fontId="28" fillId="11" borderId="1" xfId="5" applyFont="1" applyFill="1" applyBorder="1" applyAlignment="1">
      <alignment vertical="center"/>
    </xf>
    <xf numFmtId="167" fontId="3" fillId="12" borderId="1" xfId="5" applyNumberFormat="1" applyFont="1" applyFill="1" applyBorder="1"/>
    <xf numFmtId="167" fontId="28" fillId="12" borderId="1" xfId="5" applyNumberFormat="1" applyFont="1" applyFill="1" applyBorder="1"/>
    <xf numFmtId="167" fontId="3" fillId="13" borderId="1" xfId="5" applyNumberFormat="1" applyFont="1" applyFill="1" applyBorder="1"/>
    <xf numFmtId="167" fontId="28" fillId="13" borderId="1" xfId="5" applyNumberFormat="1" applyFont="1" applyFill="1" applyBorder="1"/>
    <xf numFmtId="167" fontId="31" fillId="8" borderId="1" xfId="5" applyNumberFormat="1" applyFont="1" applyFill="1" applyBorder="1"/>
    <xf numFmtId="167" fontId="5" fillId="8" borderId="1" xfId="5" applyNumberFormat="1" applyFont="1" applyFill="1" applyBorder="1"/>
    <xf numFmtId="167" fontId="5" fillId="8" borderId="5" xfId="5" applyNumberFormat="1" applyFont="1" applyFill="1" applyBorder="1"/>
    <xf numFmtId="164" fontId="5" fillId="8" borderId="1" xfId="5" applyNumberFormat="1" applyFont="1" applyFill="1" applyBorder="1"/>
    <xf numFmtId="167" fontId="8" fillId="8" borderId="1" xfId="5" applyNumberFormat="1" applyFont="1" applyFill="1" applyBorder="1"/>
    <xf numFmtId="164" fontId="28" fillId="0" borderId="1" xfId="5" applyNumberFormat="1" applyFont="1" applyFill="1" applyBorder="1"/>
    <xf numFmtId="0" fontId="9" fillId="2" borderId="1" xfId="4" applyFont="1" applyFill="1" applyBorder="1" applyAlignment="1">
      <alignment horizontal="center" vertical="center" textRotation="90" wrapText="1"/>
    </xf>
    <xf numFmtId="0" fontId="9" fillId="2" borderId="1" xfId="4" applyFont="1" applyFill="1" applyBorder="1" applyAlignment="1">
      <alignment horizontal="center" vertical="center" textRotation="90"/>
    </xf>
    <xf numFmtId="164" fontId="28" fillId="2" borderId="1" xfId="5" applyNumberFormat="1" applyFont="1" applyFill="1" applyBorder="1" applyAlignment="1">
      <alignment vertical="center"/>
    </xf>
    <xf numFmtId="2" fontId="28" fillId="2" borderId="1" xfId="4" applyNumberFormat="1" applyFont="1" applyFill="1" applyBorder="1" applyAlignment="1">
      <alignment vertical="center"/>
    </xf>
    <xf numFmtId="164" fontId="28" fillId="0" borderId="1" xfId="5" applyFont="1" applyFill="1" applyBorder="1" applyAlignment="1">
      <alignment horizontal="center" vertical="center"/>
    </xf>
    <xf numFmtId="164" fontId="28" fillId="0" borderId="1" xfId="5" applyNumberFormat="1" applyFont="1" applyFill="1" applyBorder="1" applyAlignment="1">
      <alignment horizontal="center" vertical="center"/>
    </xf>
    <xf numFmtId="49" fontId="3" fillId="0" borderId="1" xfId="4" applyNumberFormat="1" applyFont="1" applyFill="1" applyBorder="1"/>
    <xf numFmtId="172" fontId="5" fillId="8" borderId="1" xfId="5" applyNumberFormat="1" applyFont="1" applyFill="1" applyBorder="1"/>
    <xf numFmtId="166" fontId="5" fillId="8" borderId="1" xfId="5" applyNumberFormat="1" applyFont="1" applyFill="1" applyBorder="1"/>
    <xf numFmtId="166" fontId="3" fillId="4" borderId="1" xfId="5" applyNumberFormat="1" applyFont="1" applyFill="1" applyBorder="1"/>
    <xf numFmtId="167" fontId="28" fillId="0" borderId="1" xfId="5" applyNumberFormat="1" applyFont="1" applyFill="1" applyBorder="1" applyAlignment="1">
      <alignment horizontal="center" vertical="center"/>
    </xf>
    <xf numFmtId="167" fontId="3" fillId="0" borderId="1" xfId="5" applyNumberFormat="1" applyFont="1" applyFill="1" applyBorder="1" applyAlignment="1">
      <alignment horizontal="center" vertical="center"/>
    </xf>
    <xf numFmtId="167" fontId="28" fillId="0" borderId="1" xfId="5" applyNumberFormat="1" applyFont="1" applyFill="1" applyBorder="1" applyAlignment="1">
      <alignment vertical="center"/>
    </xf>
    <xf numFmtId="167" fontId="3" fillId="0" borderId="1" xfId="5" applyNumberFormat="1" applyFont="1" applyFill="1" applyBorder="1" applyAlignment="1">
      <alignment vertical="center"/>
    </xf>
    <xf numFmtId="43" fontId="5" fillId="4" borderId="1" xfId="5" applyNumberFormat="1" applyFont="1" applyFill="1" applyBorder="1"/>
    <xf numFmtId="43" fontId="3" fillId="2" borderId="0" xfId="0" applyNumberFormat="1" applyFont="1" applyFill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167" fontId="4" fillId="3" borderId="2" xfId="5" applyNumberFormat="1" applyFont="1" applyFill="1" applyBorder="1" applyAlignment="1">
      <alignment horizontal="center"/>
    </xf>
    <xf numFmtId="167" fontId="4" fillId="3" borderId="4" xfId="5" applyNumberFormat="1" applyFont="1" applyFill="1" applyBorder="1" applyAlignment="1">
      <alignment horizontal="center"/>
    </xf>
    <xf numFmtId="167" fontId="4" fillId="3" borderId="3" xfId="5" applyNumberFormat="1" applyFont="1" applyFill="1" applyBorder="1" applyAlignment="1">
      <alignment horizontal="center"/>
    </xf>
    <xf numFmtId="0" fontId="27" fillId="9" borderId="1" xfId="4" applyFont="1" applyFill="1" applyBorder="1" applyAlignment="1">
      <alignment horizontal="center" vertical="center"/>
    </xf>
    <xf numFmtId="0" fontId="30" fillId="4" borderId="1" xfId="4" applyFont="1" applyFill="1" applyBorder="1" applyAlignment="1">
      <alignment horizontal="center" vertical="center" textRotation="90" wrapText="1"/>
    </xf>
    <xf numFmtId="0" fontId="30" fillId="2" borderId="1" xfId="4" applyFont="1" applyFill="1" applyBorder="1" applyAlignment="1">
      <alignment horizontal="center" vertical="center" textRotation="90" wrapText="1"/>
    </xf>
    <xf numFmtId="0" fontId="30" fillId="2" borderId="1" xfId="4" applyFont="1" applyFill="1" applyBorder="1" applyAlignment="1">
      <alignment horizontal="center" vertical="center"/>
    </xf>
    <xf numFmtId="0" fontId="27" fillId="3" borderId="1" xfId="4" applyFont="1" applyFill="1" applyBorder="1" applyAlignment="1">
      <alignment horizontal="center" vertical="center" wrapText="1"/>
    </xf>
    <xf numFmtId="0" fontId="27" fillId="3" borderId="1" xfId="4" applyFont="1" applyFill="1" applyBorder="1" applyAlignment="1">
      <alignment horizontal="center" vertical="center"/>
    </xf>
    <xf numFmtId="0" fontId="27" fillId="3" borderId="2" xfId="4" applyFont="1" applyFill="1" applyBorder="1" applyAlignment="1">
      <alignment horizontal="center" vertical="center"/>
    </xf>
    <xf numFmtId="0" fontId="27" fillId="3" borderId="4" xfId="4" applyFont="1" applyFill="1" applyBorder="1" applyAlignment="1">
      <alignment horizontal="center" vertical="center"/>
    </xf>
    <xf numFmtId="0" fontId="27" fillId="3" borderId="3" xfId="4" applyFont="1" applyFill="1" applyBorder="1" applyAlignment="1">
      <alignment horizontal="center" vertical="center"/>
    </xf>
    <xf numFmtId="0" fontId="4" fillId="11" borderId="1" xfId="4" applyFont="1" applyFill="1" applyBorder="1" applyAlignment="1">
      <alignment horizontal="center"/>
    </xf>
    <xf numFmtId="0" fontId="9" fillId="2" borderId="1" xfId="4" applyFont="1" applyFill="1" applyBorder="1" applyAlignment="1">
      <alignment horizontal="center" vertical="center" textRotation="90" wrapText="1"/>
    </xf>
    <xf numFmtId="0" fontId="9" fillId="2" borderId="1" xfId="4" applyFont="1" applyFill="1" applyBorder="1" applyAlignment="1">
      <alignment horizontal="center" vertical="center" textRotation="90"/>
    </xf>
    <xf numFmtId="0" fontId="27" fillId="9" borderId="2" xfId="4" applyFont="1" applyFill="1" applyBorder="1" applyAlignment="1">
      <alignment horizontal="center" vertical="center"/>
    </xf>
    <xf numFmtId="0" fontId="27" fillId="9" borderId="4" xfId="4" applyFont="1" applyFill="1" applyBorder="1" applyAlignment="1">
      <alignment horizontal="center" vertical="center"/>
    </xf>
    <xf numFmtId="0" fontId="27" fillId="9" borderId="3" xfId="4" applyFont="1" applyFill="1" applyBorder="1" applyAlignment="1">
      <alignment horizontal="center" vertical="center"/>
    </xf>
    <xf numFmtId="0" fontId="9" fillId="3" borderId="1" xfId="4" applyFont="1" applyFill="1" applyBorder="1" applyAlignment="1">
      <alignment horizontal="center" vertical="center"/>
    </xf>
    <xf numFmtId="0" fontId="4" fillId="3" borderId="5" xfId="4" applyFont="1" applyFill="1" applyBorder="1" applyAlignment="1">
      <alignment horizontal="center" vertical="center"/>
    </xf>
    <xf numFmtId="0" fontId="4" fillId="3" borderId="7" xfId="4" applyFont="1" applyFill="1" applyBorder="1" applyAlignment="1">
      <alignment horizontal="center" vertical="center"/>
    </xf>
    <xf numFmtId="0" fontId="9" fillId="2" borderId="5" xfId="4" applyFont="1" applyFill="1" applyBorder="1" applyAlignment="1">
      <alignment horizontal="center" vertical="center" textRotation="90"/>
    </xf>
    <xf numFmtId="0" fontId="9" fillId="2" borderId="6" xfId="4" applyFont="1" applyFill="1" applyBorder="1" applyAlignment="1">
      <alignment horizontal="center" vertical="center" textRotation="90"/>
    </xf>
    <xf numFmtId="0" fontId="3" fillId="2" borderId="1" xfId="4" applyFont="1" applyFill="1" applyBorder="1" applyAlignment="1">
      <alignment horizontal="center"/>
    </xf>
    <xf numFmtId="0" fontId="5" fillId="2" borderId="1" xfId="4" applyFont="1" applyFill="1" applyBorder="1" applyAlignment="1">
      <alignment horizontal="center"/>
    </xf>
    <xf numFmtId="164" fontId="5" fillId="2" borderId="1" xfId="5" applyNumberFormat="1" applyFont="1" applyFill="1" applyBorder="1"/>
    <xf numFmtId="167" fontId="5" fillId="2" borderId="1" xfId="5" applyNumberFormat="1" applyFont="1" applyFill="1" applyBorder="1"/>
    <xf numFmtId="167" fontId="5" fillId="5" borderId="1" xfId="5" applyNumberFormat="1" applyFont="1" applyFill="1" applyBorder="1"/>
    <xf numFmtId="172" fontId="5" fillId="2" borderId="1" xfId="5" applyNumberFormat="1" applyFont="1" applyFill="1" applyBorder="1"/>
    <xf numFmtId="166" fontId="5" fillId="4" borderId="1" xfId="5" applyNumberFormat="1" applyFont="1" applyFill="1" applyBorder="1"/>
  </cellXfs>
  <cellStyles count="8">
    <cellStyle name="Comma" xfId="5" builtinId="3"/>
    <cellStyle name="Normal" xfId="0" builtinId="0"/>
    <cellStyle name="Normal 3" xfId="1"/>
    <cellStyle name="Normal 3 2" xfId="3"/>
    <cellStyle name="Normal 5" xfId="2"/>
    <cellStyle name="Normal 5 2" xfId="7"/>
    <cellStyle name="Normal 6" xfId="4"/>
    <cellStyle name="Percent" xfId="6" builtinId="5"/>
  </cellStyles>
  <dxfs count="0"/>
  <tableStyles count="0" defaultTableStyle="TableStyleMedium2" defaultPivotStyle="PivotStyleLight16"/>
  <colors>
    <mruColors>
      <color rgb="FFFF99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Production</a:t>
            </a:r>
          </a:p>
        </c:rich>
      </c:tx>
      <c:spPr>
        <a:noFill/>
        <a:ln>
          <a:noFill/>
        </a:ln>
        <a:effectLst/>
      </c:spPr>
    </c:title>
    <c:plotArea>
      <c:layout/>
      <c:barChart>
        <c:barDir val="col"/>
        <c:grouping val="clustered"/>
        <c:ser>
          <c:idx val="0"/>
          <c:order val="0"/>
          <c:tx>
            <c:strRef>
              <c:f>'Production, Raw Mat'!$A$2</c:f>
              <c:strCache>
                <c:ptCount val="1"/>
                <c:pt idx="0">
                  <c:v>Production (DV Tile + YB Powder)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/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'[1]Raw Materials'!$D$2:$O$2</c:f>
              <c:strCache>
                <c:ptCount val="12"/>
                <c:pt idx="0">
                  <c:v> Jan</c:v>
                </c:pt>
                <c:pt idx="1">
                  <c:v> Feb</c:v>
                </c:pt>
                <c:pt idx="2">
                  <c:v> Mar</c:v>
                </c:pt>
                <c:pt idx="3">
                  <c:v> Apr</c:v>
                </c:pt>
                <c:pt idx="4">
                  <c:v> May</c:v>
                </c:pt>
                <c:pt idx="5">
                  <c:v> Jun</c:v>
                </c:pt>
                <c:pt idx="6">
                  <c:v> Jul</c:v>
                </c:pt>
                <c:pt idx="7">
                  <c:v> Aug</c:v>
                </c:pt>
                <c:pt idx="8">
                  <c:v> Sep</c:v>
                </c:pt>
                <c:pt idx="9">
                  <c:v> Oct</c:v>
                </c:pt>
                <c:pt idx="10">
                  <c:v> Nov</c:v>
                </c:pt>
                <c:pt idx="11">
                  <c:v> Dec</c:v>
                </c:pt>
              </c:strCache>
            </c:strRef>
          </c:cat>
          <c:val>
            <c:numRef>
              <c:f>'Production, Raw Mat'!$C$3:$N$3</c:f>
              <c:numCache>
                <c:formatCode>_-* #,##0_-;\-* #,##0_-;_-* "-"??_-;_-@_-</c:formatCode>
                <c:ptCount val="12"/>
                <c:pt idx="0">
                  <c:v>9609.9310000000005</c:v>
                </c:pt>
                <c:pt idx="1">
                  <c:v>6310.08093333333</c:v>
                </c:pt>
                <c:pt idx="2">
                  <c:v>17732.973466666699</c:v>
                </c:pt>
                <c:pt idx="3">
                  <c:v>15795.455366666702</c:v>
                </c:pt>
                <c:pt idx="4">
                  <c:v>16091.7997666667</c:v>
                </c:pt>
                <c:pt idx="5">
                  <c:v>16408.015833333302</c:v>
                </c:pt>
                <c:pt idx="6">
                  <c:v>18454.323804761902</c:v>
                </c:pt>
                <c:pt idx="7">
                  <c:v>16179.630247618999</c:v>
                </c:pt>
                <c:pt idx="8">
                  <c:v>12136.7603666667</c:v>
                </c:pt>
                <c:pt idx="9">
                  <c:v>12464.841216250001</c:v>
                </c:pt>
                <c:pt idx="10">
                  <c:v>12324.145550000001</c:v>
                </c:pt>
                <c:pt idx="11">
                  <c:v>15580.268823333301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22-40AA-896D-A597F28A5E54}"/>
            </c:ext>
          </c:extLst>
        </c:ser>
        <c:dLbls/>
        <c:axId val="112373760"/>
        <c:axId val="112375296"/>
      </c:barChart>
      <c:catAx>
        <c:axId val="112373760"/>
        <c:scaling>
          <c:orientation val="minMax"/>
        </c:scaling>
        <c:axPos val="b"/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75296"/>
        <c:crosses val="autoZero"/>
        <c:auto val="1"/>
        <c:lblAlgn val="ctr"/>
        <c:lblOffset val="100"/>
      </c:catAx>
      <c:valAx>
        <c:axId val="112375296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Ton</a:t>
                </a:r>
              </a:p>
            </c:rich>
          </c:tx>
          <c:spPr>
            <a:noFill/>
            <a:ln>
              <a:noFill/>
            </a:ln>
            <a:effectLst/>
          </c:spPr>
        </c:title>
        <c:numFmt formatCode="_-* #,##0_-;\-* #,##0_-;_-* &quot;-&quot;??_-;_-@_-" sourceLinked="1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73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Raw material consumption</a:t>
            </a:r>
          </a:p>
        </c:rich>
      </c:tx>
      <c:spPr>
        <a:noFill/>
        <a:ln>
          <a:noFill/>
        </a:ln>
        <a:effectLst/>
      </c:spPr>
    </c:title>
    <c:plotArea>
      <c:layout/>
      <c:barChart>
        <c:barDir val="col"/>
        <c:grouping val="clustered"/>
        <c:ser>
          <c:idx val="0"/>
          <c:order val="0"/>
          <c:tx>
            <c:strRef>
              <c:f>'Production, Raw Mat'!$A$7</c:f>
              <c:strCache>
                <c:ptCount val="1"/>
                <c:pt idx="0">
                  <c:v>Raw Material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/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'[1]Raw Materials'!$D$2:$O$2</c:f>
              <c:strCache>
                <c:ptCount val="12"/>
                <c:pt idx="0">
                  <c:v> Jan</c:v>
                </c:pt>
                <c:pt idx="1">
                  <c:v> Feb</c:v>
                </c:pt>
                <c:pt idx="2">
                  <c:v> Mar</c:v>
                </c:pt>
                <c:pt idx="3">
                  <c:v> Apr</c:v>
                </c:pt>
                <c:pt idx="4">
                  <c:v> May</c:v>
                </c:pt>
                <c:pt idx="5">
                  <c:v> Jun</c:v>
                </c:pt>
                <c:pt idx="6">
                  <c:v> Jul</c:v>
                </c:pt>
                <c:pt idx="7">
                  <c:v> Aug</c:v>
                </c:pt>
                <c:pt idx="8">
                  <c:v> Sep</c:v>
                </c:pt>
                <c:pt idx="9">
                  <c:v> Oct</c:v>
                </c:pt>
                <c:pt idx="10">
                  <c:v> Nov</c:v>
                </c:pt>
                <c:pt idx="11">
                  <c:v> Dec</c:v>
                </c:pt>
              </c:strCache>
            </c:strRef>
          </c:cat>
          <c:val>
            <c:numRef>
              <c:f>'Production, Raw Mat'!$C$20:$N$20</c:f>
              <c:numCache>
                <c:formatCode>_-* #,##0_-;\-* #,##0_-;_-* "-"??_-;_-@_-</c:formatCode>
                <c:ptCount val="12"/>
                <c:pt idx="0">
                  <c:v>9399.0999999999985</c:v>
                </c:pt>
                <c:pt idx="1">
                  <c:v>7445.6920000000009</c:v>
                </c:pt>
                <c:pt idx="2">
                  <c:v>19799.574000000004</c:v>
                </c:pt>
                <c:pt idx="3">
                  <c:v>17265.222999999998</c:v>
                </c:pt>
                <c:pt idx="4">
                  <c:v>16909.902999999998</c:v>
                </c:pt>
                <c:pt idx="5">
                  <c:v>17831.758999999998</c:v>
                </c:pt>
                <c:pt idx="6">
                  <c:v>21446.582999999999</c:v>
                </c:pt>
                <c:pt idx="7">
                  <c:v>18061.407999999999</c:v>
                </c:pt>
                <c:pt idx="8">
                  <c:v>13091.741</c:v>
                </c:pt>
                <c:pt idx="9">
                  <c:v>14137.844999999999</c:v>
                </c:pt>
                <c:pt idx="10">
                  <c:v>13763.45</c:v>
                </c:pt>
                <c:pt idx="11">
                  <c:v>16823.792000000001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D4-4E71-9E99-79D12BD36B77}"/>
            </c:ext>
          </c:extLst>
        </c:ser>
        <c:dLbls/>
        <c:axId val="127315328"/>
        <c:axId val="150741376"/>
      </c:barChart>
      <c:lineChart>
        <c:grouping val="standard"/>
        <c:ser>
          <c:idx val="1"/>
          <c:order val="1"/>
          <c:tx>
            <c:strRef>
              <c:f>'Production, Raw Mat'!$A$21</c:f>
              <c:strCache>
                <c:ptCount val="1"/>
                <c:pt idx="0">
                  <c:v>% Alternative raw materials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2.9254860280399802E-3"/>
                  <c:y val="-2.8571428571428591E-2"/>
                </c:manualLayout>
              </c:layout>
              <c:dLblPos val="t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D4-4E71-9E99-79D12BD36B7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'Production, Raw Mat'!$C$21:$N$21</c:f>
              <c:numCache>
                <c:formatCode>0%</c:formatCode>
                <c:ptCount val="12"/>
                <c:pt idx="0">
                  <c:v>6.650955942590249E-2</c:v>
                </c:pt>
                <c:pt idx="1">
                  <c:v>4.8906132566321564E-2</c:v>
                </c:pt>
                <c:pt idx="2">
                  <c:v>5.5837564990034623E-2</c:v>
                </c:pt>
                <c:pt idx="3">
                  <c:v>6.0914359461212875E-2</c:v>
                </c:pt>
                <c:pt idx="4">
                  <c:v>5.8522511926886879E-2</c:v>
                </c:pt>
                <c:pt idx="5">
                  <c:v>7.0534264174386838E-2</c:v>
                </c:pt>
                <c:pt idx="6">
                  <c:v>6.6598954248329442E-2</c:v>
                </c:pt>
                <c:pt idx="7">
                  <c:v>7.0511390917031486E-2</c:v>
                </c:pt>
                <c:pt idx="8">
                  <c:v>7.0080442318557937E-2</c:v>
                </c:pt>
                <c:pt idx="9">
                  <c:v>6.2315720677373392E-2</c:v>
                </c:pt>
                <c:pt idx="10">
                  <c:v>6.6646080742836997E-2</c:v>
                </c:pt>
                <c:pt idx="11">
                  <c:v>6.0746114787914626E-2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F6D4-4E71-9E99-79D12BD36B77}"/>
            </c:ext>
          </c:extLst>
        </c:ser>
        <c:dLbls/>
        <c:marker val="1"/>
        <c:axId val="162162560"/>
        <c:axId val="159493504"/>
      </c:lineChart>
      <c:catAx>
        <c:axId val="127315328"/>
        <c:scaling>
          <c:orientation val="minMax"/>
        </c:scaling>
        <c:axPos val="b"/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741376"/>
        <c:crosses val="autoZero"/>
        <c:auto val="1"/>
        <c:lblAlgn val="ctr"/>
        <c:lblOffset val="100"/>
      </c:catAx>
      <c:valAx>
        <c:axId val="150741376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Ton</a:t>
                </a:r>
              </a:p>
            </c:rich>
          </c:tx>
          <c:spPr>
            <a:noFill/>
            <a:ln>
              <a:noFill/>
            </a:ln>
            <a:effectLst/>
          </c:spPr>
        </c:title>
        <c:numFmt formatCode="_-* #,##0_-;\-* #,##0_-;_-* &quot;-&quot;??_-;_-@_-" sourceLinked="1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15328"/>
        <c:crosses val="autoZero"/>
        <c:crossBetween val="between"/>
      </c:valAx>
      <c:valAx>
        <c:axId val="159493504"/>
        <c:scaling>
          <c:orientation val="minMax"/>
        </c:scaling>
        <c:axPos val="r"/>
        <c:numFmt formatCode="0%" sourceLinked="0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162560"/>
        <c:crosses val="max"/>
        <c:crossBetween val="between"/>
      </c:valAx>
      <c:catAx>
        <c:axId val="162162560"/>
        <c:scaling>
          <c:orientation val="minMax"/>
        </c:scaling>
        <c:delete val="1"/>
        <c:axPos val="b"/>
        <c:tickLblPos val="none"/>
        <c:crossAx val="159493504"/>
        <c:crosses val="autoZero"/>
        <c:auto val="1"/>
        <c:lblAlgn val="ctr"/>
        <c:lblOffset val="100"/>
      </c:catAx>
      <c:spPr>
        <a:noFill/>
        <a:ln>
          <a:noFill/>
        </a:ln>
        <a:effectLst/>
      </c:spPr>
    </c:plotArea>
    <c:legend>
      <c:legendPos val="b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Hazardous Waste Generate</a:t>
            </a:r>
          </a:p>
        </c:rich>
      </c:tx>
      <c:spPr>
        <a:noFill/>
        <a:ln>
          <a:noFill/>
        </a:ln>
        <a:effectLst/>
      </c:spPr>
    </c:title>
    <c:plotArea>
      <c:layout/>
      <c:barChart>
        <c:barDir val="col"/>
        <c:grouping val="clustered"/>
        <c:ser>
          <c:idx val="0"/>
          <c:order val="0"/>
          <c:tx>
            <c:v>Hazardous Waste Generate</c:v>
          </c:tx>
          <c:spPr>
            <a:solidFill>
              <a:srgbClr val="0070C0"/>
            </a:solidFill>
            <a:ln>
              <a:noFill/>
            </a:ln>
            <a:effectLst/>
          </c:spPr>
          <c:dLbls>
            <c:dLbl>
              <c:idx val="6"/>
              <c:layout>
                <c:manualLayout>
                  <c:x val="1.6609416492889023E-2"/>
                  <c:y val="-6.0979190620358885E-2"/>
                </c:manualLayout>
              </c:layout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050-4BC9-A938-F3B88B83045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/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'[1]Raw Materials'!$D$2:$O$2</c:f>
              <c:strCache>
                <c:ptCount val="12"/>
                <c:pt idx="0">
                  <c:v> Jan</c:v>
                </c:pt>
                <c:pt idx="1">
                  <c:v> Feb</c:v>
                </c:pt>
                <c:pt idx="2">
                  <c:v> Mar</c:v>
                </c:pt>
                <c:pt idx="3">
                  <c:v> Apr</c:v>
                </c:pt>
                <c:pt idx="4">
                  <c:v> May</c:v>
                </c:pt>
                <c:pt idx="5">
                  <c:v> Jun</c:v>
                </c:pt>
                <c:pt idx="6">
                  <c:v> Jul</c:v>
                </c:pt>
                <c:pt idx="7">
                  <c:v> Aug</c:v>
                </c:pt>
                <c:pt idx="8">
                  <c:v> Sep</c:v>
                </c:pt>
                <c:pt idx="9">
                  <c:v> Oct</c:v>
                </c:pt>
                <c:pt idx="10">
                  <c:v> Nov</c:v>
                </c:pt>
                <c:pt idx="11">
                  <c:v> Dec</c:v>
                </c:pt>
              </c:strCache>
            </c:strRef>
          </c:cat>
          <c:val>
            <c:numRef>
              <c:f>(Waste!$C$14,Waste!$H$14,Waste!$M$14,Waste!$R$14,Waste!$W$14,Waste!$AB$14,Waste!$AG$14,Waste!$AL$14,Waste!$AQ$14,Waste!$AV$14,Waste!$BA$14,Waste!$BL$14)</c:f>
              <c:numCache>
                <c:formatCode>General</c:formatCode>
                <c:ptCount val="12"/>
                <c:pt idx="0">
                  <c:v>0.2001</c:v>
                </c:pt>
                <c:pt idx="1">
                  <c:v>6.9594000000000005</c:v>
                </c:pt>
                <c:pt idx="2">
                  <c:v>2.6416999999999997</c:v>
                </c:pt>
                <c:pt idx="3">
                  <c:v>0.73060000000000003</c:v>
                </c:pt>
                <c:pt idx="4">
                  <c:v>0.54600000000000004</c:v>
                </c:pt>
                <c:pt idx="5">
                  <c:v>1.6175000000000002</c:v>
                </c:pt>
                <c:pt idx="6">
                  <c:v>0.30049999999999999</c:v>
                </c:pt>
                <c:pt idx="7">
                  <c:v>1.3573</c:v>
                </c:pt>
                <c:pt idx="8">
                  <c:v>0.43320000000000003</c:v>
                </c:pt>
                <c:pt idx="9">
                  <c:v>5.5589999999999993</c:v>
                </c:pt>
                <c:pt idx="10">
                  <c:v>0.40849999999999997</c:v>
                </c:pt>
                <c:pt idx="11">
                  <c:v>-6.4333999999999945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7050-4BC9-A938-F3B88B83045C}"/>
            </c:ext>
          </c:extLst>
        </c:ser>
        <c:dLbls/>
        <c:axId val="111750144"/>
        <c:axId val="111760128"/>
      </c:barChart>
      <c:lineChart>
        <c:grouping val="standard"/>
        <c:ser>
          <c:idx val="1"/>
          <c:order val="1"/>
          <c:tx>
            <c:v>Specific Hazardous Waste Generate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(Waste!$C$15,Waste!$H$15,Waste!$M$15,Waste!$R$15,Waste!$W$15,Waste!$AB$15,Waste!$AG$15,Waste!$AL$15,Waste!$AQ$15,Waste!$AV$15,Waste!$BA$15,Waste!$BL$15)</c:f>
              <c:numCache>
                <c:formatCode>_-* #,##0.00_-;\-* #,##0.00_-;_-* "-"??_-;_-@_-</c:formatCode>
                <c:ptCount val="12"/>
                <c:pt idx="0">
                  <c:v>2.0822209857698247E-2</c:v>
                </c:pt>
                <c:pt idx="1">
                  <c:v>1.1029018602973235</c:v>
                </c:pt>
                <c:pt idx="2">
                  <c:v>0.14897106821739159</c:v>
                </c:pt>
                <c:pt idx="3">
                  <c:v>4.6253810544885719E-2</c:v>
                </c:pt>
                <c:pt idx="4">
                  <c:v>3.3930325253674218E-2</c:v>
                </c:pt>
                <c:pt idx="5">
                  <c:v>9.857986586738951E-2</c:v>
                </c:pt>
                <c:pt idx="6">
                  <c:v>1.6283446805157923E-2</c:v>
                </c:pt>
                <c:pt idx="7">
                  <c:v>8.3889432528888641E-2</c:v>
                </c:pt>
                <c:pt idx="8">
                  <c:v>3.5693215233100643E-2</c:v>
                </c:pt>
                <c:pt idx="9">
                  <c:v>0.4459743933803918</c:v>
                </c:pt>
                <c:pt idx="10">
                  <c:v>3.3146314147515073E-2</c:v>
                </c:pt>
                <c:pt idx="11">
                  <c:v>-0.40198860519203228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7050-4BC9-A938-F3B88B83045C}"/>
            </c:ext>
          </c:extLst>
        </c:ser>
        <c:dLbls/>
        <c:marker val="1"/>
        <c:axId val="111764224"/>
        <c:axId val="111762048"/>
      </c:lineChart>
      <c:catAx>
        <c:axId val="111750144"/>
        <c:scaling>
          <c:orientation val="minMax"/>
        </c:scaling>
        <c:axPos val="b"/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60128"/>
        <c:crosses val="autoZero"/>
        <c:auto val="1"/>
        <c:lblAlgn val="ctr"/>
        <c:lblOffset val="100"/>
      </c:catAx>
      <c:valAx>
        <c:axId val="111760128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Ton</a:t>
                </a:r>
              </a:p>
            </c:rich>
          </c:tx>
          <c:spPr>
            <a:noFill/>
            <a:ln>
              <a:noFill/>
            </a:ln>
            <a:effectLst/>
          </c:spPr>
        </c:title>
        <c:numFmt formatCode="General" sourceLinked="1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50144"/>
        <c:crosses val="autoZero"/>
        <c:crossBetween val="between"/>
      </c:valAx>
      <c:valAx>
        <c:axId val="111762048"/>
        <c:scaling>
          <c:orientation val="minMax"/>
        </c:scaling>
        <c:axPos val="r"/>
        <c:title>
          <c:tx>
            <c:rich>
              <a:bodyPr rot="5400000" spcFirstLastPara="1" vertOverflow="ellipsis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kg/ton</a:t>
                </a:r>
              </a:p>
            </c:rich>
          </c:tx>
          <c:spPr>
            <a:noFill/>
            <a:ln>
              <a:noFill/>
            </a:ln>
            <a:effectLst/>
          </c:spPr>
        </c:title>
        <c:numFmt formatCode="#,##0.00" sourceLinked="0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64224"/>
        <c:crosses val="max"/>
        <c:crossBetween val="between"/>
      </c:valAx>
      <c:catAx>
        <c:axId val="111764224"/>
        <c:scaling>
          <c:orientation val="minMax"/>
        </c:scaling>
        <c:delete val="1"/>
        <c:axPos val="b"/>
        <c:tickLblPos val="none"/>
        <c:crossAx val="111762048"/>
        <c:crosses val="autoZero"/>
        <c:auto val="1"/>
        <c:lblAlgn val="ctr"/>
        <c:lblOffset val="100"/>
      </c:catAx>
      <c:spPr>
        <a:noFill/>
        <a:ln>
          <a:noFill/>
        </a:ln>
        <a:effectLst/>
      </c:spPr>
    </c:plotArea>
    <c:legend>
      <c:legendPos val="b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Non Hazardous Waste Generate</a:t>
            </a:r>
          </a:p>
        </c:rich>
      </c:tx>
      <c:spPr>
        <a:noFill/>
        <a:ln>
          <a:noFill/>
        </a:ln>
        <a:effectLst/>
      </c:spPr>
    </c:title>
    <c:plotArea>
      <c:layout/>
      <c:barChart>
        <c:barDir val="col"/>
        <c:grouping val="clustered"/>
        <c:ser>
          <c:idx val="0"/>
          <c:order val="0"/>
          <c:tx>
            <c:v>Non Hazardous Waste Generate</c:v>
          </c:tx>
          <c:spPr>
            <a:solidFill>
              <a:srgbClr val="0070C0"/>
            </a:solidFill>
            <a:ln>
              <a:noFill/>
            </a:ln>
            <a:effectLst/>
          </c:spPr>
          <c:cat>
            <c:strRef>
              <c:f>'[1]Raw Materials'!$D$2:$O$2</c:f>
              <c:strCache>
                <c:ptCount val="12"/>
                <c:pt idx="0">
                  <c:v> Jan</c:v>
                </c:pt>
                <c:pt idx="1">
                  <c:v> Feb</c:v>
                </c:pt>
                <c:pt idx="2">
                  <c:v> Mar</c:v>
                </c:pt>
                <c:pt idx="3">
                  <c:v> Apr</c:v>
                </c:pt>
                <c:pt idx="4">
                  <c:v> May</c:v>
                </c:pt>
                <c:pt idx="5">
                  <c:v> Jun</c:v>
                </c:pt>
                <c:pt idx="6">
                  <c:v> Jul</c:v>
                </c:pt>
                <c:pt idx="7">
                  <c:v> Aug</c:v>
                </c:pt>
                <c:pt idx="8">
                  <c:v> Sep</c:v>
                </c:pt>
                <c:pt idx="9">
                  <c:v> Oct</c:v>
                </c:pt>
                <c:pt idx="10">
                  <c:v> Nov</c:v>
                </c:pt>
                <c:pt idx="11">
                  <c:v> Dec</c:v>
                </c:pt>
              </c:strCache>
            </c:strRef>
          </c:cat>
          <c:val>
            <c:numRef>
              <c:f>(Waste!$C$30,Waste!$H$30,Waste!$M$30,Waste!$R$30,Waste!$W$30,Waste!$AB$30,Waste!$AG$30,Waste!$AL$30,Waste!$AQ$30,Waste!$AV$30,Waste!$BA$30,Waste!$BL$30)</c:f>
              <c:numCache>
                <c:formatCode>General</c:formatCode>
                <c:ptCount val="12"/>
                <c:pt idx="0">
                  <c:v>99.61</c:v>
                </c:pt>
                <c:pt idx="1">
                  <c:v>211.70569999999998</c:v>
                </c:pt>
                <c:pt idx="2">
                  <c:v>42.914500000000004</c:v>
                </c:pt>
                <c:pt idx="3">
                  <c:v>0.1845</c:v>
                </c:pt>
                <c:pt idx="4">
                  <c:v>48.503999999999998</c:v>
                </c:pt>
                <c:pt idx="5">
                  <c:v>10.339499999999999</c:v>
                </c:pt>
                <c:pt idx="6">
                  <c:v>2.0461999999999998</c:v>
                </c:pt>
                <c:pt idx="7">
                  <c:v>0.26600000000000001</c:v>
                </c:pt>
                <c:pt idx="8">
                  <c:v>2.4319999999999999</c:v>
                </c:pt>
                <c:pt idx="9">
                  <c:v>0.16500000000000001</c:v>
                </c:pt>
                <c:pt idx="10">
                  <c:v>6.694</c:v>
                </c:pt>
                <c:pt idx="11">
                  <c:v>-7.6035000000000004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A30-495D-A35A-940CCFBFCB67}"/>
            </c:ext>
          </c:extLst>
        </c:ser>
        <c:dLbls/>
        <c:axId val="111796224"/>
        <c:axId val="111797760"/>
      </c:barChart>
      <c:lineChart>
        <c:grouping val="standard"/>
        <c:ser>
          <c:idx val="1"/>
          <c:order val="1"/>
          <c:tx>
            <c:v>Specific Non Hazardous Waste Generate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(Waste!$C$31,Waste!$H$31,Waste!$M$31,Waste!$R$31,Waste!$W$31,Waste!$AB$31,Waste!$AG$31,Waste!$AL$31,Waste!$AQ$31,Waste!$AV$31,Waste!$BA$31,Waste!$BL$31)</c:f>
              <c:numCache>
                <c:formatCode>_-* #,##0.00_-;\-* #,##0.00_-;_-* "-"??_-;_-@_-</c:formatCode>
                <c:ptCount val="12"/>
                <c:pt idx="0">
                  <c:v>10.36531896014654</c:v>
                </c:pt>
                <c:pt idx="1">
                  <c:v>33.550393764627273</c:v>
                </c:pt>
                <c:pt idx="2">
                  <c:v>2.4200397119336992</c:v>
                </c:pt>
                <c:pt idx="3">
                  <c:v>1.1680574932290466E-2</c:v>
                </c:pt>
                <c:pt idx="4">
                  <c:v>3.0142060368209052</c:v>
                </c:pt>
                <c:pt idx="5">
                  <c:v>0.63014931878570246</c:v>
                </c:pt>
                <c:pt idx="6">
                  <c:v>0.1108791642353216</c:v>
                </c:pt>
                <c:pt idx="7">
                  <c:v>1.6440425147487205E-2</c:v>
                </c:pt>
                <c:pt idx="8">
                  <c:v>0.20038296271214395</c:v>
                </c:pt>
                <c:pt idx="9">
                  <c:v>1.3237232399310066E-2</c:v>
                </c:pt>
                <c:pt idx="10">
                  <c:v>0.54316138776858247</c:v>
                </c:pt>
                <c:pt idx="11">
                  <c:v>-0.47510186830876677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9A30-495D-A35A-940CCFBFCB67}"/>
            </c:ext>
          </c:extLst>
        </c:ser>
        <c:dLbls/>
        <c:marker val="1"/>
        <c:axId val="111801856"/>
        <c:axId val="111799680"/>
      </c:lineChart>
      <c:catAx>
        <c:axId val="111796224"/>
        <c:scaling>
          <c:orientation val="minMax"/>
        </c:scaling>
        <c:axPos val="b"/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97760"/>
        <c:crosses val="autoZero"/>
        <c:auto val="1"/>
        <c:lblAlgn val="ctr"/>
        <c:lblOffset val="100"/>
      </c:catAx>
      <c:valAx>
        <c:axId val="111797760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Ton</a:t>
                </a:r>
              </a:p>
            </c:rich>
          </c:tx>
          <c:spPr>
            <a:noFill/>
            <a:ln>
              <a:noFill/>
            </a:ln>
            <a:effectLst/>
          </c:spPr>
        </c:title>
        <c:numFmt formatCode="General" sourceLinked="1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96224"/>
        <c:crosses val="autoZero"/>
        <c:crossBetween val="between"/>
      </c:valAx>
      <c:valAx>
        <c:axId val="111799680"/>
        <c:scaling>
          <c:orientation val="minMax"/>
        </c:scaling>
        <c:axPos val="r"/>
        <c:title>
          <c:tx>
            <c:rich>
              <a:bodyPr rot="5400000" spcFirstLastPara="1" vertOverflow="ellipsis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kg/ton</a:t>
                </a:r>
              </a:p>
            </c:rich>
          </c:tx>
          <c:spPr>
            <a:noFill/>
            <a:ln>
              <a:noFill/>
            </a:ln>
            <a:effectLst/>
          </c:spPr>
        </c:title>
        <c:numFmt formatCode="#,##0.00" sourceLinked="0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801856"/>
        <c:crosses val="max"/>
        <c:crossBetween val="between"/>
      </c:valAx>
      <c:catAx>
        <c:axId val="111801856"/>
        <c:scaling>
          <c:orientation val="minMax"/>
        </c:scaling>
        <c:delete val="1"/>
        <c:axPos val="b"/>
        <c:tickLblPos val="none"/>
        <c:crossAx val="111799680"/>
        <c:crosses val="autoZero"/>
        <c:auto val="1"/>
        <c:lblAlgn val="ctr"/>
        <c:lblOffset val="100"/>
      </c:catAx>
      <c:spPr>
        <a:noFill/>
        <a:ln>
          <a:noFill/>
        </a:ln>
        <a:effectLst/>
      </c:spPr>
    </c:plotArea>
    <c:legend>
      <c:legendPos val="b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Hazardous Waste to </a:t>
            </a:r>
            <a:r>
              <a:rPr lang="en-US">
                <a:solidFill>
                  <a:srgbClr val="FF0000"/>
                </a:solidFill>
              </a:rPr>
              <a:t>Landfill</a:t>
            </a:r>
          </a:p>
        </c:rich>
      </c:tx>
      <c:spPr>
        <a:noFill/>
        <a:ln>
          <a:noFill/>
        </a:ln>
        <a:effectLst/>
      </c:spPr>
    </c:title>
    <c:plotArea>
      <c:layout/>
      <c:barChart>
        <c:barDir val="col"/>
        <c:grouping val="clustered"/>
        <c:ser>
          <c:idx val="0"/>
          <c:order val="0"/>
          <c:tx>
            <c:v>Hazardous Waste to Landfill</c:v>
          </c:tx>
          <c:spPr>
            <a:solidFill>
              <a:srgbClr val="0070C0"/>
            </a:solidFill>
            <a:ln>
              <a:noFill/>
            </a:ln>
            <a:effectLst/>
          </c:spPr>
          <c:cat>
            <c:strRef>
              <c:f>'[1]Raw Materials'!$D$2:$O$2</c:f>
              <c:strCache>
                <c:ptCount val="12"/>
                <c:pt idx="0">
                  <c:v> Jan</c:v>
                </c:pt>
                <c:pt idx="1">
                  <c:v> Feb</c:v>
                </c:pt>
                <c:pt idx="2">
                  <c:v> Mar</c:v>
                </c:pt>
                <c:pt idx="3">
                  <c:v> Apr</c:v>
                </c:pt>
                <c:pt idx="4">
                  <c:v> May</c:v>
                </c:pt>
                <c:pt idx="5">
                  <c:v> Jun</c:v>
                </c:pt>
                <c:pt idx="6">
                  <c:v> Jul</c:v>
                </c:pt>
                <c:pt idx="7">
                  <c:v> Aug</c:v>
                </c:pt>
                <c:pt idx="8">
                  <c:v> Sep</c:v>
                </c:pt>
                <c:pt idx="9">
                  <c:v> Oct</c:v>
                </c:pt>
                <c:pt idx="10">
                  <c:v> Nov</c:v>
                </c:pt>
                <c:pt idx="11">
                  <c:v> Dec</c:v>
                </c:pt>
              </c:strCache>
            </c:strRef>
          </c:cat>
          <c:val>
            <c:numRef>
              <c:f>(Waste!$F$14,Waste!$K$14,Waste!$P$14,Waste!$U$14,Waste!$Z$14,Waste!$AE$14,Waste!$AJ$14,Waste!$AO$14,Waste!$AT$14,Waste!$AY$14,Waste!$BI$14)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4E-4090-BD17-4592DC827DCE}"/>
            </c:ext>
          </c:extLst>
        </c:ser>
        <c:dLbls/>
        <c:axId val="112378624"/>
        <c:axId val="112380160"/>
      </c:barChart>
      <c:lineChart>
        <c:grouping val="standard"/>
        <c:ser>
          <c:idx val="1"/>
          <c:order val="1"/>
          <c:tx>
            <c:v>Specific Hazardous Waste to Landfill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(Waste!$F$15,Waste!$K$15,Waste!$P$15,Waste!$U$15,Waste!$Z$15,Waste!$AE$15,Waste!$AJ$15,Waste!$AO$15,Waste!$AT$15,Waste!$AY$15,Waste!$BD$15,Waste!$BI$15)</c:f>
              <c:numCache>
                <c:formatCode>_-* #,##0.00_-;\-* #,##0.00_-;_-* "-"??_-;_-@_-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34E-4090-BD17-4592DC827DCE}"/>
            </c:ext>
          </c:extLst>
        </c:ser>
        <c:dLbls/>
        <c:marker val="1"/>
        <c:axId val="112388352"/>
        <c:axId val="112386432"/>
      </c:lineChart>
      <c:catAx>
        <c:axId val="112378624"/>
        <c:scaling>
          <c:orientation val="minMax"/>
        </c:scaling>
        <c:axPos val="b"/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80160"/>
        <c:crosses val="autoZero"/>
        <c:auto val="1"/>
        <c:lblAlgn val="ctr"/>
        <c:lblOffset val="100"/>
      </c:catAx>
      <c:valAx>
        <c:axId val="112380160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Ton</a:t>
                </a:r>
              </a:p>
            </c:rich>
          </c:tx>
          <c:spPr>
            <a:noFill/>
            <a:ln>
              <a:noFill/>
            </a:ln>
            <a:effectLst/>
          </c:spPr>
        </c:title>
        <c:numFmt formatCode="General" sourceLinked="1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78624"/>
        <c:crosses val="autoZero"/>
        <c:crossBetween val="between"/>
      </c:valAx>
      <c:valAx>
        <c:axId val="112386432"/>
        <c:scaling>
          <c:orientation val="minMax"/>
        </c:scaling>
        <c:axPos val="r"/>
        <c:title>
          <c:tx>
            <c:rich>
              <a:bodyPr rot="5400000" spcFirstLastPara="1" vertOverflow="ellipsis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kg/ton</a:t>
                </a:r>
              </a:p>
            </c:rich>
          </c:tx>
          <c:spPr>
            <a:noFill/>
            <a:ln>
              <a:noFill/>
            </a:ln>
            <a:effectLst/>
          </c:spPr>
        </c:title>
        <c:numFmt formatCode="#,##0.00" sourceLinked="0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88352"/>
        <c:crosses val="max"/>
        <c:crossBetween val="between"/>
      </c:valAx>
      <c:catAx>
        <c:axId val="112388352"/>
        <c:scaling>
          <c:orientation val="minMax"/>
        </c:scaling>
        <c:delete val="1"/>
        <c:axPos val="b"/>
        <c:tickLblPos val="none"/>
        <c:crossAx val="112386432"/>
        <c:crosses val="autoZero"/>
        <c:auto val="1"/>
        <c:lblAlgn val="ctr"/>
        <c:lblOffset val="100"/>
      </c:catAx>
      <c:spPr>
        <a:noFill/>
        <a:ln>
          <a:noFill/>
        </a:ln>
        <a:effectLst/>
      </c:spPr>
    </c:plotArea>
    <c:legend>
      <c:legendPos val="b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Non Hazardous Waste to </a:t>
            </a:r>
            <a:r>
              <a:rPr lang="en-US">
                <a:solidFill>
                  <a:srgbClr val="FF0000"/>
                </a:solidFill>
              </a:rPr>
              <a:t>Landfill</a:t>
            </a:r>
          </a:p>
        </c:rich>
      </c:tx>
      <c:spPr>
        <a:noFill/>
        <a:ln>
          <a:noFill/>
        </a:ln>
        <a:effectLst/>
      </c:spPr>
    </c:title>
    <c:plotArea>
      <c:layout/>
      <c:barChart>
        <c:barDir val="col"/>
        <c:grouping val="clustered"/>
        <c:ser>
          <c:idx val="0"/>
          <c:order val="0"/>
          <c:tx>
            <c:v>Non Hazardous Waste to Landfill</c:v>
          </c:tx>
          <c:spPr>
            <a:solidFill>
              <a:srgbClr val="0070C0"/>
            </a:solidFill>
            <a:ln>
              <a:noFill/>
            </a:ln>
            <a:effectLst/>
          </c:spPr>
          <c:cat>
            <c:strRef>
              <c:f>'[1]Raw Materials'!$D$2:$O$2</c:f>
              <c:strCache>
                <c:ptCount val="12"/>
                <c:pt idx="0">
                  <c:v> Jan</c:v>
                </c:pt>
                <c:pt idx="1">
                  <c:v> Feb</c:v>
                </c:pt>
                <c:pt idx="2">
                  <c:v> Mar</c:v>
                </c:pt>
                <c:pt idx="3">
                  <c:v> Apr</c:v>
                </c:pt>
                <c:pt idx="4">
                  <c:v> May</c:v>
                </c:pt>
                <c:pt idx="5">
                  <c:v> Jun</c:v>
                </c:pt>
                <c:pt idx="6">
                  <c:v> Jul</c:v>
                </c:pt>
                <c:pt idx="7">
                  <c:v> Aug</c:v>
                </c:pt>
                <c:pt idx="8">
                  <c:v> Sep</c:v>
                </c:pt>
                <c:pt idx="9">
                  <c:v> Oct</c:v>
                </c:pt>
                <c:pt idx="10">
                  <c:v> Nov</c:v>
                </c:pt>
                <c:pt idx="11">
                  <c:v> Dec</c:v>
                </c:pt>
              </c:strCache>
            </c:strRef>
          </c:cat>
          <c:val>
            <c:numRef>
              <c:f>(Waste!$F$30,Waste!$K$30,Waste!$P$30,Waste!$U$30,Waste!$Z$30,Waste!$AE$30,Waste!$AJ$30,Waste!$AO$30,Waste!$AT$30,Waste!$AY$30,Waste!$BD$30,Waste!$BI$30)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BFC-4103-828F-2D6F864E2CF9}"/>
            </c:ext>
          </c:extLst>
        </c:ser>
        <c:dLbls/>
        <c:axId val="123950592"/>
        <c:axId val="123952128"/>
      </c:barChart>
      <c:lineChart>
        <c:grouping val="standard"/>
        <c:ser>
          <c:idx val="1"/>
          <c:order val="1"/>
          <c:tx>
            <c:v>Specific Non Hazardous Waste to Landfill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(Waste!$F$31,Waste!$K$31,Waste!$P$31,Waste!$U$31,Waste!$Z$31,Waste!$AE$31,Waste!$AJ$31,Waste!$AO$31,Waste!$AT$31,Waste!$AY$31,Waste!$BD$31,Waste!$BI$31)</c:f>
              <c:numCache>
                <c:formatCode>_-* #,##0.00_-;\-* #,##0.00_-;_-* "-"??_-;_-@_-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8BFC-4103-828F-2D6F864E2CF9}"/>
            </c:ext>
          </c:extLst>
        </c:ser>
        <c:dLbls/>
        <c:marker val="1"/>
        <c:axId val="123972608"/>
        <c:axId val="123970688"/>
      </c:lineChart>
      <c:catAx>
        <c:axId val="123950592"/>
        <c:scaling>
          <c:orientation val="minMax"/>
        </c:scaling>
        <c:axPos val="b"/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52128"/>
        <c:crosses val="autoZero"/>
        <c:auto val="1"/>
        <c:lblAlgn val="ctr"/>
        <c:lblOffset val="100"/>
      </c:catAx>
      <c:valAx>
        <c:axId val="123952128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Ton</a:t>
                </a:r>
              </a:p>
            </c:rich>
          </c:tx>
          <c:spPr>
            <a:noFill/>
            <a:ln>
              <a:noFill/>
            </a:ln>
            <a:effectLst/>
          </c:spPr>
        </c:title>
        <c:numFmt formatCode="General" sourceLinked="1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50592"/>
        <c:crosses val="autoZero"/>
        <c:crossBetween val="between"/>
      </c:valAx>
      <c:valAx>
        <c:axId val="123970688"/>
        <c:scaling>
          <c:orientation val="minMax"/>
        </c:scaling>
        <c:axPos val="r"/>
        <c:title>
          <c:tx>
            <c:rich>
              <a:bodyPr rot="5400000" spcFirstLastPara="1" vertOverflow="ellipsis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kg/ton</a:t>
                </a:r>
              </a:p>
            </c:rich>
          </c:tx>
          <c:spPr>
            <a:noFill/>
            <a:ln>
              <a:noFill/>
            </a:ln>
            <a:effectLst/>
          </c:spPr>
        </c:title>
        <c:numFmt formatCode="#,##0.00" sourceLinked="0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72608"/>
        <c:crosses val="max"/>
        <c:crossBetween val="between"/>
      </c:valAx>
      <c:catAx>
        <c:axId val="123972608"/>
        <c:scaling>
          <c:orientation val="minMax"/>
        </c:scaling>
        <c:delete val="1"/>
        <c:axPos val="b"/>
        <c:tickLblPos val="none"/>
        <c:crossAx val="123970688"/>
        <c:crosses val="autoZero"/>
        <c:auto val="1"/>
        <c:lblAlgn val="ctr"/>
        <c:lblOffset val="100"/>
      </c:catAx>
      <c:spPr>
        <a:noFill/>
        <a:ln>
          <a:noFill/>
        </a:ln>
        <a:effectLst/>
      </c:spPr>
    </c:plotArea>
    <c:legend>
      <c:legendPos val="b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Dust Emission</a:t>
            </a:r>
          </a:p>
        </c:rich>
      </c:tx>
      <c:spPr>
        <a:noFill/>
        <a:ln>
          <a:noFill/>
        </a:ln>
        <a:effectLst/>
      </c:spPr>
    </c:title>
    <c:plotArea>
      <c:layout/>
      <c:barChart>
        <c:barDir val="col"/>
        <c:grouping val="clustered"/>
        <c:ser>
          <c:idx val="0"/>
          <c:order val="0"/>
          <c:tx>
            <c:v>Dust Emission</c:v>
          </c:tx>
          <c:spPr>
            <a:solidFill>
              <a:srgbClr val="0070C0"/>
            </a:solidFill>
            <a:ln>
              <a:noFill/>
            </a:ln>
            <a:effectLst/>
          </c:spPr>
          <c:cat>
            <c:strRef>
              <c:f>'[1]Raw Materials'!$D$2:$O$2</c:f>
              <c:strCache>
                <c:ptCount val="12"/>
                <c:pt idx="0">
                  <c:v> Jan</c:v>
                </c:pt>
                <c:pt idx="1">
                  <c:v> Feb</c:v>
                </c:pt>
                <c:pt idx="2">
                  <c:v> Mar</c:v>
                </c:pt>
                <c:pt idx="3">
                  <c:v> Apr</c:v>
                </c:pt>
                <c:pt idx="4">
                  <c:v> May</c:v>
                </c:pt>
                <c:pt idx="5">
                  <c:v> Jun</c:v>
                </c:pt>
                <c:pt idx="6">
                  <c:v> Jul</c:v>
                </c:pt>
                <c:pt idx="7">
                  <c:v> Aug</c:v>
                </c:pt>
                <c:pt idx="8">
                  <c:v> Sep</c:v>
                </c:pt>
                <c:pt idx="9">
                  <c:v> Oct</c:v>
                </c:pt>
                <c:pt idx="10">
                  <c:v> Nov</c:v>
                </c:pt>
                <c:pt idx="11">
                  <c:v> Dec</c:v>
                </c:pt>
              </c:strCache>
            </c:strRef>
          </c:cat>
          <c:val>
            <c:numRef>
              <c:f>(Emission!$L$17,Emission!$U$17,Emission!$AD$17,Emission!$AM$17,Emission!$AV$17,Emission!$BE$17,Emission!$BN$17,Emission!$BW$17,Emission!$CF$17,Emission!$CO$17,Emission!$CX$17,Emission!$DG$17)</c:f>
              <c:numCache>
                <c:formatCode>_-* #,##0.00_-;\-* #,##0.00_-;_-* "-"??_-;_-@_-</c:formatCode>
                <c:ptCount val="12"/>
                <c:pt idx="0">
                  <c:v>4965.5336799999995</c:v>
                </c:pt>
                <c:pt idx="1">
                  <c:v>2745.7244799999999</c:v>
                </c:pt>
                <c:pt idx="2">
                  <c:v>7756.6824400000005</c:v>
                </c:pt>
                <c:pt idx="3">
                  <c:v>8161.8254999999999</c:v>
                </c:pt>
                <c:pt idx="4">
                  <c:v>8392.0459500000015</c:v>
                </c:pt>
                <c:pt idx="5">
                  <c:v>7431.4863600000017</c:v>
                </c:pt>
                <c:pt idx="6">
                  <c:v>8198.7767320000003</c:v>
                </c:pt>
                <c:pt idx="7">
                  <c:v>7231.8217319999994</c:v>
                </c:pt>
                <c:pt idx="8">
                  <c:v>6486.6858600000005</c:v>
                </c:pt>
                <c:pt idx="9">
                  <c:v>5666.7726639999992</c:v>
                </c:pt>
                <c:pt idx="10">
                  <c:v>6174.4373200000009</c:v>
                </c:pt>
                <c:pt idx="11">
                  <c:v>6742.7916239999995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6B5-4D77-8CE7-DF65BAA77409}"/>
            </c:ext>
          </c:extLst>
        </c:ser>
        <c:dLbls/>
        <c:axId val="126795136"/>
        <c:axId val="126801024"/>
      </c:barChart>
      <c:lineChart>
        <c:grouping val="standard"/>
        <c:ser>
          <c:idx val="1"/>
          <c:order val="1"/>
          <c:tx>
            <c:v>Specific Dust Emission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(Emission!$L$18,Emission!$U$18,Emission!$AD$18,Emission!$AM$18,Emission!$AV$18,Emission!$BE$18,Emission!$BN$18,Emission!$BW$18,Emission!$CF$18,Emission!$CO$18,Emission!$CX$18,Emission!$DG$18)</c:f>
              <c:numCache>
                <c:formatCode>_-* #,##0.00_-;\-* #,##0.00_-;_-* "-"??_-;_-@_-</c:formatCode>
                <c:ptCount val="12"/>
                <c:pt idx="0">
                  <c:v>516.70856741843409</c:v>
                </c:pt>
                <c:pt idx="1">
                  <c:v>435.13300526710645</c:v>
                </c:pt>
                <c:pt idx="2">
                  <c:v>437.41578109167716</c:v>
                </c:pt>
                <c:pt idx="3">
                  <c:v>516.71986090530675</c:v>
                </c:pt>
                <c:pt idx="4">
                  <c:v>521.51071177157417</c:v>
                </c:pt>
                <c:pt idx="5" formatCode="General">
                  <c:v>452.91803929776489</c:v>
                </c:pt>
                <c:pt idx="6">
                  <c:v>444.27402589979545</c:v>
                </c:pt>
                <c:pt idx="7">
                  <c:v>446.97076640946335</c:v>
                </c:pt>
                <c:pt idx="8">
                  <c:v>534.46600773428111</c:v>
                </c:pt>
                <c:pt idx="9">
                  <c:v>454.62052549954791</c:v>
                </c:pt>
                <c:pt idx="10">
                  <c:v>501.00327807309941</c:v>
                </c:pt>
                <c:pt idx="11">
                  <c:v>421.32082569594309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6B5-4D77-8CE7-DF65BAA77409}"/>
            </c:ext>
          </c:extLst>
        </c:ser>
        <c:dLbls/>
        <c:marker val="1"/>
        <c:axId val="126805120"/>
        <c:axId val="126802944"/>
      </c:lineChart>
      <c:catAx>
        <c:axId val="126795136"/>
        <c:scaling>
          <c:orientation val="minMax"/>
        </c:scaling>
        <c:axPos val="b"/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801024"/>
        <c:crosses val="autoZero"/>
        <c:auto val="1"/>
        <c:lblAlgn val="ctr"/>
        <c:lblOffset val="100"/>
      </c:catAx>
      <c:valAx>
        <c:axId val="126801024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kg</a:t>
                </a:r>
              </a:p>
            </c:rich>
          </c:tx>
          <c:spPr>
            <a:noFill/>
            <a:ln>
              <a:noFill/>
            </a:ln>
            <a:effectLst/>
          </c:spPr>
        </c:title>
        <c:numFmt formatCode="_-* #,##0.00_-;\-* #,##0.00_-;_-* &quot;-&quot;??_-;_-@_-" sourceLinked="1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795136"/>
        <c:crosses val="autoZero"/>
        <c:crossBetween val="between"/>
      </c:valAx>
      <c:valAx>
        <c:axId val="126802944"/>
        <c:scaling>
          <c:orientation val="minMax"/>
        </c:scaling>
        <c:axPos val="r"/>
        <c:title>
          <c:tx>
            <c:rich>
              <a:bodyPr rot="5400000" spcFirstLastPara="1" vertOverflow="ellipsis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g/ton</a:t>
                </a:r>
              </a:p>
            </c:rich>
          </c:tx>
          <c:spPr>
            <a:noFill/>
            <a:ln>
              <a:noFill/>
            </a:ln>
            <a:effectLst/>
          </c:spPr>
        </c:title>
        <c:numFmt formatCode="#,##0.00" sourceLinked="0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805120"/>
        <c:crosses val="max"/>
        <c:crossBetween val="between"/>
      </c:valAx>
      <c:catAx>
        <c:axId val="126805120"/>
        <c:scaling>
          <c:orientation val="minMax"/>
        </c:scaling>
        <c:delete val="1"/>
        <c:axPos val="b"/>
        <c:tickLblPos val="none"/>
        <c:crossAx val="126802944"/>
        <c:crosses val="autoZero"/>
        <c:auto val="1"/>
        <c:lblAlgn val="ctr"/>
        <c:lblOffset val="100"/>
      </c:catAx>
      <c:spPr>
        <a:noFill/>
        <a:ln>
          <a:noFill/>
        </a:ln>
        <a:effectLst/>
      </c:spPr>
    </c:plotArea>
    <c:legend>
      <c:legendPos val="b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SOx Emission</a:t>
            </a:r>
          </a:p>
        </c:rich>
      </c:tx>
      <c:spPr>
        <a:noFill/>
        <a:ln>
          <a:noFill/>
        </a:ln>
        <a:effectLst/>
      </c:spPr>
    </c:title>
    <c:plotArea>
      <c:layout/>
      <c:barChart>
        <c:barDir val="col"/>
        <c:grouping val="clustered"/>
        <c:ser>
          <c:idx val="0"/>
          <c:order val="0"/>
          <c:tx>
            <c:v>SOx Emission</c:v>
          </c:tx>
          <c:spPr>
            <a:solidFill>
              <a:srgbClr val="0070C0"/>
            </a:solidFill>
            <a:ln>
              <a:noFill/>
            </a:ln>
            <a:effectLst/>
          </c:spPr>
          <c:cat>
            <c:strRef>
              <c:f>'[1]Raw Materials'!$D$2:$O$2</c:f>
              <c:strCache>
                <c:ptCount val="12"/>
                <c:pt idx="0">
                  <c:v> Jan</c:v>
                </c:pt>
                <c:pt idx="1">
                  <c:v> Feb</c:v>
                </c:pt>
                <c:pt idx="2">
                  <c:v> Mar</c:v>
                </c:pt>
                <c:pt idx="3">
                  <c:v> Apr</c:v>
                </c:pt>
                <c:pt idx="4">
                  <c:v> May</c:v>
                </c:pt>
                <c:pt idx="5">
                  <c:v> Jun</c:v>
                </c:pt>
                <c:pt idx="6">
                  <c:v> Jul</c:v>
                </c:pt>
                <c:pt idx="7">
                  <c:v> Aug</c:v>
                </c:pt>
                <c:pt idx="8">
                  <c:v> Sep</c:v>
                </c:pt>
                <c:pt idx="9">
                  <c:v> Oct</c:v>
                </c:pt>
                <c:pt idx="10">
                  <c:v> Nov</c:v>
                </c:pt>
                <c:pt idx="11">
                  <c:v> Dec</c:v>
                </c:pt>
              </c:strCache>
            </c:strRef>
          </c:cat>
          <c:val>
            <c:numRef>
              <c:f>(Emission!$L$35,Emission!$U$35,Emission!$AD$35,Emission!$AM$35,Emission!$AV$35,Emission!$BE$35,Emission!$BN$35,Emission!$BW$35,Emission!$CF$35,Emission!$CO$35,Emission!$DG$35)</c:f>
              <c:numCache>
                <c:formatCode>_-* #,##0.00_-;\-* #,##0.00_-;_-* "-"??_-;_-@_-</c:formatCode>
                <c:ptCount val="11"/>
                <c:pt idx="0">
                  <c:v>3633.5408344000002</c:v>
                </c:pt>
                <c:pt idx="1">
                  <c:v>1882.2070352000001</c:v>
                </c:pt>
                <c:pt idx="2">
                  <c:v>5770.0724904000008</c:v>
                </c:pt>
                <c:pt idx="3">
                  <c:v>7359.010212000001</c:v>
                </c:pt>
                <c:pt idx="4">
                  <c:v>7505.8801919999996</c:v>
                </c:pt>
                <c:pt idx="5">
                  <c:v>15535.124367999997</c:v>
                </c:pt>
                <c:pt idx="6">
                  <c:v>17107.824348000002</c:v>
                </c:pt>
                <c:pt idx="7">
                  <c:v>15181.412452000004</c:v>
                </c:pt>
                <c:pt idx="8">
                  <c:v>13712.862711999998</c:v>
                </c:pt>
                <c:pt idx="9">
                  <c:v>12216.173392000001</c:v>
                </c:pt>
                <c:pt idx="10">
                  <c:v>14588.885072000003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9F1-48D9-8DAA-EEEC300EA866}"/>
            </c:ext>
          </c:extLst>
        </c:ser>
        <c:dLbls/>
        <c:axId val="127193472"/>
        <c:axId val="127195008"/>
      </c:barChart>
      <c:lineChart>
        <c:grouping val="standard"/>
        <c:ser>
          <c:idx val="1"/>
          <c:order val="1"/>
          <c:tx>
            <c:v>Specific SOx Emission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(Emission!$L$36,Emission!$U$36,Emission!$AD$36,Emission!$AM$36,Emission!$AV$36,Emission!$BE$36,Emission!$BN$36,Emission!$BW$36,Emission!$CF$36,Emission!$CO$36,Emission!$CX$36,Emission!$DG$36)</c:f>
              <c:numCache>
                <c:formatCode>_-* #,##0.00_-;\-* #,##0.00_-;_-* "-"??_-;_-@_-</c:formatCode>
                <c:ptCount val="12"/>
                <c:pt idx="0">
                  <c:v>378.1026975531874</c:v>
                </c:pt>
                <c:pt idx="1">
                  <c:v>298.28572011765232</c:v>
                </c:pt>
                <c:pt idx="2">
                  <c:v>325.38663080087565</c:v>
                </c:pt>
                <c:pt idx="3">
                  <c:v>465.89414747293637</c:v>
                </c:pt>
                <c:pt idx="4">
                  <c:v>466.44131177595358</c:v>
                </c:pt>
                <c:pt idx="5" formatCode="General">
                  <c:v>946.80091278556642</c:v>
                </c:pt>
                <c:pt idx="6" formatCode="_(* #,##0.00_);_(* \(#,##0.00\);_(* &quot;-&quot;??_);_(@_)">
                  <c:v>927.03609891062752</c:v>
                </c:pt>
                <c:pt idx="7">
                  <c:v>938.30404154224141</c:v>
                </c:pt>
                <c:pt idx="8">
                  <c:v>1129.8618657464822</c:v>
                </c:pt>
                <c:pt idx="9">
                  <c:v>980.05046194043609</c:v>
                </c:pt>
                <c:pt idx="10">
                  <c:v>1084.1817719363107</c:v>
                </c:pt>
                <c:pt idx="11">
                  <c:v>911.581055336237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9F1-48D9-8DAA-EEEC300EA866}"/>
            </c:ext>
          </c:extLst>
        </c:ser>
        <c:dLbls/>
        <c:marker val="1"/>
        <c:axId val="127199104"/>
        <c:axId val="127197184"/>
      </c:lineChart>
      <c:catAx>
        <c:axId val="127193472"/>
        <c:scaling>
          <c:orientation val="minMax"/>
        </c:scaling>
        <c:axPos val="b"/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195008"/>
        <c:crosses val="autoZero"/>
        <c:auto val="1"/>
        <c:lblAlgn val="ctr"/>
        <c:lblOffset val="100"/>
      </c:catAx>
      <c:valAx>
        <c:axId val="127195008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kg</a:t>
                </a:r>
              </a:p>
            </c:rich>
          </c:tx>
          <c:spPr>
            <a:noFill/>
            <a:ln>
              <a:noFill/>
            </a:ln>
            <a:effectLst/>
          </c:spPr>
        </c:title>
        <c:numFmt formatCode="_-* #,##0.00_-;\-* #,##0.00_-;_-* &quot;-&quot;??_-;_-@_-" sourceLinked="1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193472"/>
        <c:crosses val="autoZero"/>
        <c:crossBetween val="between"/>
      </c:valAx>
      <c:valAx>
        <c:axId val="127197184"/>
        <c:scaling>
          <c:orientation val="minMax"/>
        </c:scaling>
        <c:axPos val="r"/>
        <c:title>
          <c:tx>
            <c:rich>
              <a:bodyPr rot="5400000" spcFirstLastPara="1" vertOverflow="ellipsis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g/ton</a:t>
                </a:r>
              </a:p>
            </c:rich>
          </c:tx>
          <c:spPr>
            <a:noFill/>
            <a:ln>
              <a:noFill/>
            </a:ln>
            <a:effectLst/>
          </c:spPr>
        </c:title>
        <c:numFmt formatCode="#,##0.00" sourceLinked="0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199104"/>
        <c:crosses val="max"/>
        <c:crossBetween val="between"/>
      </c:valAx>
      <c:catAx>
        <c:axId val="127199104"/>
        <c:scaling>
          <c:orientation val="minMax"/>
        </c:scaling>
        <c:delete val="1"/>
        <c:axPos val="b"/>
        <c:tickLblPos val="none"/>
        <c:crossAx val="127197184"/>
        <c:crosses val="autoZero"/>
        <c:auto val="1"/>
        <c:lblAlgn val="ctr"/>
        <c:lblOffset val="100"/>
      </c:catAx>
      <c:spPr>
        <a:noFill/>
        <a:ln>
          <a:noFill/>
        </a:ln>
        <a:effectLst/>
      </c:spPr>
    </c:plotArea>
    <c:legend>
      <c:legendPos val="b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NOx Emission</a:t>
            </a:r>
          </a:p>
        </c:rich>
      </c:tx>
      <c:spPr>
        <a:noFill/>
        <a:ln>
          <a:noFill/>
        </a:ln>
        <a:effectLst/>
      </c:spPr>
    </c:title>
    <c:plotArea>
      <c:layout/>
      <c:barChart>
        <c:barDir val="col"/>
        <c:grouping val="clustered"/>
        <c:ser>
          <c:idx val="0"/>
          <c:order val="0"/>
          <c:tx>
            <c:v>NOx Emission</c:v>
          </c:tx>
          <c:spPr>
            <a:solidFill>
              <a:srgbClr val="0070C0"/>
            </a:solidFill>
            <a:ln>
              <a:noFill/>
            </a:ln>
            <a:effectLst/>
          </c:spPr>
          <c:cat>
            <c:strRef>
              <c:f>'[1]Raw Materials'!$D$2:$O$2</c:f>
              <c:strCache>
                <c:ptCount val="12"/>
                <c:pt idx="0">
                  <c:v> Jan</c:v>
                </c:pt>
                <c:pt idx="1">
                  <c:v> Feb</c:v>
                </c:pt>
                <c:pt idx="2">
                  <c:v> Mar</c:v>
                </c:pt>
                <c:pt idx="3">
                  <c:v> Apr</c:v>
                </c:pt>
                <c:pt idx="4">
                  <c:v> May</c:v>
                </c:pt>
                <c:pt idx="5">
                  <c:v> Jun</c:v>
                </c:pt>
                <c:pt idx="6">
                  <c:v> Jul</c:v>
                </c:pt>
                <c:pt idx="7">
                  <c:v> Aug</c:v>
                </c:pt>
                <c:pt idx="8">
                  <c:v> Sep</c:v>
                </c:pt>
                <c:pt idx="9">
                  <c:v> Oct</c:v>
                </c:pt>
                <c:pt idx="10">
                  <c:v> Nov</c:v>
                </c:pt>
                <c:pt idx="11">
                  <c:v> Dec</c:v>
                </c:pt>
              </c:strCache>
            </c:strRef>
          </c:cat>
          <c:val>
            <c:numRef>
              <c:f>(Emission!$L$54,Emission!$U$54,Emission!$AD$54,Emission!$AM$54,Emission!$AV$54,Emission!$BE$54,Emission!$BN$54,Emission!$BW$54,Emission!$CF$54,Emission!$CO$54,Emission!$CX$54,Emission!$DG$54)</c:f>
              <c:numCache>
                <c:formatCode>_-* #,##0.00_-;\-* #,##0.00_-;_-* "-"??_-;_-@_-</c:formatCode>
                <c:ptCount val="12"/>
                <c:pt idx="0">
                  <c:v>519.16567999999995</c:v>
                </c:pt>
                <c:pt idx="1">
                  <c:v>288.88283999999999</c:v>
                </c:pt>
                <c:pt idx="2">
                  <c:v>810.29785599999991</c:v>
                </c:pt>
                <c:pt idx="3">
                  <c:v>811.91327999999999</c:v>
                </c:pt>
                <c:pt idx="4">
                  <c:v>835.77575200000001</c:v>
                </c:pt>
                <c:pt idx="5">
                  <c:v>10440.97054</c:v>
                </c:pt>
                <c:pt idx="6">
                  <c:v>11381.368211999999</c:v>
                </c:pt>
                <c:pt idx="7">
                  <c:v>10422.071752</c:v>
                </c:pt>
                <c:pt idx="8">
                  <c:v>9780.2266600000003</c:v>
                </c:pt>
                <c:pt idx="9">
                  <c:v>9189.5261280000013</c:v>
                </c:pt>
                <c:pt idx="10">
                  <c:v>10005.522639999999</c:v>
                </c:pt>
                <c:pt idx="11">
                  <c:v>10887.640288000001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555-47FB-9207-53F6E409EF10}"/>
            </c:ext>
          </c:extLst>
        </c:ser>
        <c:dLbls/>
        <c:axId val="127317120"/>
        <c:axId val="127318656"/>
      </c:barChart>
      <c:lineChart>
        <c:grouping val="standard"/>
        <c:ser>
          <c:idx val="1"/>
          <c:order val="1"/>
          <c:tx>
            <c:v>Specific NOx Emission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(Emission!$L$55,Emission!$U$55,Emission!$AD$55,Emission!$AM$55,Emission!$AV$55,Emission!$BE$55,Emission!$BN$55,Emission!$BW$55,Emission!$CF$55,Emission!$CO$55,Emission!$CX$55,Emission!$DG$55)</c:f>
              <c:numCache>
                <c:formatCode>_-* #,##0.00_-;\-* #,##0.00_-;_-* "-"??_-;_-@_-</c:formatCode>
                <c:ptCount val="12"/>
                <c:pt idx="0">
                  <c:v>54.023871763491321</c:v>
                </c:pt>
                <c:pt idx="1">
                  <c:v>45.781162405376037</c:v>
                </c:pt>
                <c:pt idx="2">
                  <c:v>45.694415407723106</c:v>
                </c:pt>
                <c:pt idx="3">
                  <c:v>51.401701385158432</c:v>
                </c:pt>
                <c:pt idx="4">
                  <c:v>51.937991033872088</c:v>
                </c:pt>
                <c:pt idx="5" formatCode="_(* #,##0.00_);_(* \(#,##0.00\);_(* &quot;-&quot;??_);_(@_)">
                  <c:v>636.33352417840206</c:v>
                </c:pt>
                <c:pt idx="6">
                  <c:v>616.73179317809434</c:v>
                </c:pt>
                <c:pt idx="7">
                  <c:v>644.14770872367217</c:v>
                </c:pt>
                <c:pt idx="8">
                  <c:v>805.83503047989154</c:v>
                </c:pt>
                <c:pt idx="9">
                  <c:v>737.23571512647266</c:v>
                </c:pt>
                <c:pt idx="10">
                  <c:v>811.86339445658348</c:v>
                </c:pt>
                <c:pt idx="11">
                  <c:v>680.31015220656263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7555-47FB-9207-53F6E409EF10}"/>
            </c:ext>
          </c:extLst>
        </c:ser>
        <c:dLbls/>
        <c:marker val="1"/>
        <c:axId val="127335040"/>
        <c:axId val="127333120"/>
      </c:lineChart>
      <c:catAx>
        <c:axId val="127317120"/>
        <c:scaling>
          <c:orientation val="minMax"/>
        </c:scaling>
        <c:axPos val="b"/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18656"/>
        <c:crosses val="autoZero"/>
        <c:auto val="1"/>
        <c:lblAlgn val="ctr"/>
        <c:lblOffset val="100"/>
      </c:catAx>
      <c:valAx>
        <c:axId val="127318656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kg</a:t>
                </a:r>
              </a:p>
            </c:rich>
          </c:tx>
          <c:spPr>
            <a:noFill/>
            <a:ln>
              <a:noFill/>
            </a:ln>
            <a:effectLst/>
          </c:spPr>
        </c:title>
        <c:numFmt formatCode="_-* #,##0.00_-;\-* #,##0.00_-;_-* &quot;-&quot;??_-;_-@_-" sourceLinked="1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17120"/>
        <c:crosses val="autoZero"/>
        <c:crossBetween val="between"/>
      </c:valAx>
      <c:valAx>
        <c:axId val="127333120"/>
        <c:scaling>
          <c:orientation val="minMax"/>
        </c:scaling>
        <c:axPos val="r"/>
        <c:title>
          <c:tx>
            <c:rich>
              <a:bodyPr rot="5400000" spcFirstLastPara="1" vertOverflow="ellipsis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g/ton</a:t>
                </a:r>
              </a:p>
            </c:rich>
          </c:tx>
          <c:spPr>
            <a:noFill/>
            <a:ln>
              <a:noFill/>
            </a:ln>
            <a:effectLst/>
          </c:spPr>
        </c:title>
        <c:numFmt formatCode="#,##0.00" sourceLinked="0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35040"/>
        <c:crosses val="max"/>
        <c:crossBetween val="between"/>
      </c:valAx>
      <c:catAx>
        <c:axId val="127335040"/>
        <c:scaling>
          <c:orientation val="minMax"/>
        </c:scaling>
        <c:delete val="1"/>
        <c:axPos val="b"/>
        <c:tickLblPos val="none"/>
        <c:crossAx val="127333120"/>
        <c:crosses val="autoZero"/>
        <c:auto val="1"/>
        <c:lblAlgn val="ctr"/>
        <c:lblOffset val="100"/>
      </c:catAx>
      <c:spPr>
        <a:noFill/>
        <a:ln>
          <a:noFill/>
        </a:ln>
        <a:effectLst/>
      </c:spPr>
    </c:plotArea>
    <c:legend>
      <c:legendPos val="b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22</xdr:row>
      <xdr:rowOff>0</xdr:rowOff>
    </xdr:from>
    <xdr:to>
      <xdr:col>6</xdr:col>
      <xdr:colOff>268941</xdr:colOff>
      <xdr:row>39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22</xdr:row>
      <xdr:rowOff>0</xdr:rowOff>
    </xdr:from>
    <xdr:to>
      <xdr:col>14</xdr:col>
      <xdr:colOff>493059</xdr:colOff>
      <xdr:row>39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33</xdr:row>
      <xdr:rowOff>0</xdr:rowOff>
    </xdr:from>
    <xdr:to>
      <xdr:col>6</xdr:col>
      <xdr:colOff>44824</xdr:colOff>
      <xdr:row>50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500-000002000000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52</xdr:row>
      <xdr:rowOff>0</xdr:rowOff>
    </xdr:from>
    <xdr:to>
      <xdr:col>6</xdr:col>
      <xdr:colOff>44824</xdr:colOff>
      <xdr:row>69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0500-000003000000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33</xdr:row>
      <xdr:rowOff>0</xdr:rowOff>
    </xdr:from>
    <xdr:to>
      <xdr:col>19</xdr:col>
      <xdr:colOff>0</xdr:colOff>
      <xdr:row>50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xmlns="" id="{00000000-0008-0000-0500-000004000000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52</xdr:row>
      <xdr:rowOff>0</xdr:rowOff>
    </xdr:from>
    <xdr:to>
      <xdr:col>19</xdr:col>
      <xdr:colOff>0</xdr:colOff>
      <xdr:row>69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xmlns="" id="{00000000-0008-0000-0500-000005000000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57</xdr:row>
      <xdr:rowOff>0</xdr:rowOff>
    </xdr:from>
    <xdr:to>
      <xdr:col>14</xdr:col>
      <xdr:colOff>44823</xdr:colOff>
      <xdr:row>74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600-000002000000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57</xdr:row>
      <xdr:rowOff>0</xdr:rowOff>
    </xdr:from>
    <xdr:to>
      <xdr:col>26</xdr:col>
      <xdr:colOff>168089</xdr:colOff>
      <xdr:row>74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0600-000003000000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0</xdr:colOff>
      <xdr:row>57</xdr:row>
      <xdr:rowOff>0</xdr:rowOff>
    </xdr:from>
    <xdr:to>
      <xdr:col>38</xdr:col>
      <xdr:colOff>190500</xdr:colOff>
      <xdr:row>74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xmlns="" id="{00000000-0008-0000-0600-000004000000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onthakk/Desktop/Attach02%20SD%20(Cement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.%20N&#259;m%202020/2.%20B&#225;o%20c&#225;o/5.%20Th&#225;ng%205.2020/4.%20B&#225;o%20c&#225;o%20SDKPI/1.%20DV-Confirm.Rev%2020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Business"/>
      <sheetName val="Scope Raw Mat,Waste"/>
      <sheetName val="Product"/>
      <sheetName val="Raw Materials"/>
      <sheetName val="Water"/>
      <sheetName val="Waste"/>
      <sheetName val="Emission"/>
      <sheetName val="coal"/>
      <sheetName val="kiln"/>
      <sheetName val="CM_ช้าง"/>
      <sheetName val="CM_เสือ"/>
      <sheetName val="CM_เสือฉาบ"/>
      <sheetName val="CM_ช้างหล่อ"/>
      <sheetName val="CM_super"/>
      <sheetName val="total CM"/>
      <sheetName val="cement_dis"/>
      <sheetName val="cement"/>
      <sheetName val="cement_dist"/>
    </sheetNames>
    <sheetDataSet>
      <sheetData sheetId="0" refreshError="1"/>
      <sheetData sheetId="1" refreshError="1"/>
      <sheetData sheetId="2" refreshError="1">
        <row r="4">
          <cell r="C4">
            <v>100</v>
          </cell>
          <cell r="O4">
            <v>100</v>
          </cell>
          <cell r="P4">
            <v>100</v>
          </cell>
          <cell r="Q4">
            <v>0</v>
          </cell>
          <cell r="R4">
            <v>0</v>
          </cell>
          <cell r="S4">
            <v>0</v>
          </cell>
        </row>
      </sheetData>
      <sheetData sheetId="3" refreshError="1">
        <row r="2">
          <cell r="D2" t="str">
            <v xml:space="preserve"> Jan</v>
          </cell>
          <cell r="E2" t="str">
            <v xml:space="preserve"> Feb</v>
          </cell>
          <cell r="F2" t="str">
            <v xml:space="preserve"> Mar</v>
          </cell>
          <cell r="G2" t="str">
            <v xml:space="preserve"> Apr</v>
          </cell>
          <cell r="H2" t="str">
            <v xml:space="preserve"> May</v>
          </cell>
          <cell r="I2" t="str">
            <v xml:space="preserve"> Jun</v>
          </cell>
          <cell r="J2" t="str">
            <v xml:space="preserve"> Jul</v>
          </cell>
          <cell r="K2" t="str">
            <v xml:space="preserve"> Aug</v>
          </cell>
          <cell r="L2" t="str">
            <v xml:space="preserve"> Sep</v>
          </cell>
          <cell r="M2" t="str">
            <v xml:space="preserve"> Oct</v>
          </cell>
          <cell r="N2" t="str">
            <v xml:space="preserve"> Nov</v>
          </cell>
          <cell r="O2" t="str">
            <v xml:space="preserve"> Dec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Business"/>
      <sheetName val="Scope"/>
      <sheetName val="Production, Raw Mat"/>
      <sheetName val="Energy, GHG"/>
      <sheetName val="Water"/>
      <sheetName val="Waste"/>
      <sheetName val="Emission"/>
    </sheetNames>
    <sheetDataSet>
      <sheetData sheetId="0" refreshError="1"/>
      <sheetData sheetId="1" refreshError="1"/>
      <sheetData sheetId="2" refreshError="1">
        <row r="3">
          <cell r="C3">
            <v>9609.9310000000005</v>
          </cell>
        </row>
        <row r="5">
          <cell r="O5">
            <v>9609.9310000000005</v>
          </cell>
          <cell r="P5">
            <v>9609.9310000000005</v>
          </cell>
          <cell r="Q5">
            <v>0</v>
          </cell>
          <cell r="R5">
            <v>0</v>
          </cell>
          <cell r="S5">
            <v>0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O36"/>
  <sheetViews>
    <sheetView workbookViewId="0">
      <selection activeCell="D22" sqref="D22"/>
    </sheetView>
  </sheetViews>
  <sheetFormatPr defaultColWidth="8.7109375" defaultRowHeight="12"/>
  <cols>
    <col min="1" max="1" width="9.28515625" style="22" bestFit="1" customWidth="1"/>
    <col min="2" max="2" width="10.42578125" style="21" customWidth="1"/>
    <col min="3" max="3" width="10.42578125" style="5" hidden="1" customWidth="1"/>
    <col min="4" max="4" width="17.140625" style="21" customWidth="1"/>
    <col min="5" max="5" width="7.28515625" style="61" bestFit="1" customWidth="1"/>
    <col min="6" max="6" width="9" style="61" bestFit="1" customWidth="1"/>
    <col min="7" max="7" width="7" style="61" bestFit="1" customWidth="1"/>
    <col min="8" max="8" width="9.7109375" style="61" bestFit="1" customWidth="1"/>
    <col min="9" max="9" width="5.140625" style="61" bestFit="1" customWidth="1"/>
    <col min="10" max="10" width="4.42578125" style="61" bestFit="1" customWidth="1"/>
    <col min="11" max="11" width="4.7109375" style="61" bestFit="1" customWidth="1"/>
    <col min="12" max="12" width="4.85546875" style="61" bestFit="1" customWidth="1"/>
    <col min="13" max="13" width="9.5703125" style="61" bestFit="1" customWidth="1"/>
    <col min="14" max="14" width="7.7109375" style="61" bestFit="1" customWidth="1"/>
    <col min="15" max="15" width="5.5703125" style="61" bestFit="1" customWidth="1"/>
    <col min="16" max="16384" width="8.7109375" style="22"/>
  </cols>
  <sheetData>
    <row r="1" spans="1:15" ht="13.9" customHeight="1">
      <c r="A1" s="225" t="s">
        <v>4</v>
      </c>
      <c r="B1" s="228" t="s">
        <v>5</v>
      </c>
      <c r="C1" s="228" t="s">
        <v>44</v>
      </c>
      <c r="D1" s="228" t="s">
        <v>62</v>
      </c>
      <c r="E1" s="224" t="s">
        <v>68</v>
      </c>
      <c r="F1" s="224"/>
      <c r="G1" s="224"/>
      <c r="H1" s="224"/>
      <c r="I1" s="224"/>
      <c r="J1" s="224"/>
      <c r="K1" s="224"/>
      <c r="L1" s="224"/>
      <c r="M1" s="224"/>
      <c r="N1" s="224"/>
      <c r="O1" s="224"/>
    </row>
    <row r="2" spans="1:15" s="59" customFormat="1">
      <c r="A2" s="226"/>
      <c r="B2" s="228"/>
      <c r="C2" s="228"/>
      <c r="D2" s="228"/>
      <c r="E2" s="229" t="s">
        <v>70</v>
      </c>
      <c r="F2" s="228" t="s">
        <v>45</v>
      </c>
      <c r="G2" s="228" t="s">
        <v>50</v>
      </c>
      <c r="H2" s="228"/>
      <c r="I2" s="228" t="s">
        <v>53</v>
      </c>
      <c r="J2" s="228"/>
      <c r="K2" s="228"/>
      <c r="L2" s="228"/>
      <c r="M2" s="228" t="s">
        <v>58</v>
      </c>
      <c r="N2" s="228"/>
      <c r="O2" s="228" t="s">
        <v>61</v>
      </c>
    </row>
    <row r="3" spans="1:15" s="59" customFormat="1">
      <c r="A3" s="227"/>
      <c r="B3" s="228"/>
      <c r="C3" s="228"/>
      <c r="D3" s="228"/>
      <c r="E3" s="228"/>
      <c r="F3" s="228"/>
      <c r="G3" s="57" t="s">
        <v>51</v>
      </c>
      <c r="H3" s="57" t="s">
        <v>52</v>
      </c>
      <c r="I3" s="57" t="s">
        <v>54</v>
      </c>
      <c r="J3" s="57" t="s">
        <v>55</v>
      </c>
      <c r="K3" s="57" t="s">
        <v>56</v>
      </c>
      <c r="L3" s="57" t="s">
        <v>57</v>
      </c>
      <c r="M3" s="57" t="s">
        <v>59</v>
      </c>
      <c r="N3" s="57" t="s">
        <v>60</v>
      </c>
      <c r="O3" s="228"/>
    </row>
    <row r="4" spans="1:15">
      <c r="A4" s="58" t="s">
        <v>6</v>
      </c>
      <c r="B4" s="19" t="s">
        <v>7</v>
      </c>
      <c r="C4" s="4" t="s">
        <v>45</v>
      </c>
      <c r="D4" s="19" t="s">
        <v>63</v>
      </c>
      <c r="E4" s="17" t="s">
        <v>71</v>
      </c>
      <c r="F4" s="17" t="s">
        <v>71</v>
      </c>
      <c r="G4" s="17" t="s">
        <v>71</v>
      </c>
      <c r="H4" s="17" t="s">
        <v>71</v>
      </c>
      <c r="I4" s="17" t="s">
        <v>71</v>
      </c>
      <c r="J4" s="17" t="s">
        <v>71</v>
      </c>
      <c r="K4" s="17" t="s">
        <v>71</v>
      </c>
      <c r="L4" s="17" t="s">
        <v>71</v>
      </c>
      <c r="M4" s="17" t="s">
        <v>71</v>
      </c>
      <c r="N4" s="17" t="s">
        <v>71</v>
      </c>
      <c r="O4" s="17" t="s">
        <v>71</v>
      </c>
    </row>
    <row r="5" spans="1:15">
      <c r="A5" s="58" t="s">
        <v>6</v>
      </c>
      <c r="B5" s="19" t="s">
        <v>8</v>
      </c>
      <c r="C5" s="4" t="s">
        <v>45</v>
      </c>
      <c r="D5" s="19" t="s">
        <v>2</v>
      </c>
      <c r="E5" s="17" t="s">
        <v>71</v>
      </c>
      <c r="F5" s="17" t="s">
        <v>71</v>
      </c>
      <c r="G5" s="17" t="s">
        <v>71</v>
      </c>
      <c r="H5" s="17" t="s">
        <v>71</v>
      </c>
      <c r="I5" s="17" t="s">
        <v>71</v>
      </c>
      <c r="J5" s="17" t="s">
        <v>71</v>
      </c>
      <c r="K5" s="17" t="s">
        <v>71</v>
      </c>
      <c r="L5" s="17" t="s">
        <v>71</v>
      </c>
      <c r="M5" s="17" t="s">
        <v>71</v>
      </c>
      <c r="N5" s="17" t="s">
        <v>71</v>
      </c>
      <c r="O5" s="17" t="s">
        <v>71</v>
      </c>
    </row>
    <row r="6" spans="1:15">
      <c r="A6" s="58" t="s">
        <v>6</v>
      </c>
      <c r="B6" s="19" t="s">
        <v>9</v>
      </c>
      <c r="C6" s="4" t="s">
        <v>45</v>
      </c>
      <c r="D6" s="19" t="s">
        <v>64</v>
      </c>
      <c r="E6" s="17" t="s">
        <v>71</v>
      </c>
      <c r="F6" s="17" t="s">
        <v>71</v>
      </c>
      <c r="G6" s="17" t="s">
        <v>71</v>
      </c>
      <c r="H6" s="17" t="s">
        <v>71</v>
      </c>
      <c r="I6" s="17" t="s">
        <v>71</v>
      </c>
      <c r="J6" s="17" t="s">
        <v>71</v>
      </c>
      <c r="K6" s="17" t="s">
        <v>71</v>
      </c>
      <c r="L6" s="17" t="s">
        <v>71</v>
      </c>
      <c r="M6" s="17" t="s">
        <v>71</v>
      </c>
      <c r="N6" s="17" t="s">
        <v>71</v>
      </c>
      <c r="O6" s="17" t="s">
        <v>71</v>
      </c>
    </row>
    <row r="7" spans="1:15">
      <c r="A7" s="58" t="s">
        <v>6</v>
      </c>
      <c r="B7" s="19" t="s">
        <v>10</v>
      </c>
      <c r="C7" s="4" t="s">
        <v>45</v>
      </c>
      <c r="D7" s="19" t="s">
        <v>3</v>
      </c>
      <c r="E7" s="17" t="s">
        <v>71</v>
      </c>
      <c r="F7" s="17" t="s">
        <v>71</v>
      </c>
      <c r="G7" s="17" t="s">
        <v>71</v>
      </c>
      <c r="H7" s="17" t="s">
        <v>71</v>
      </c>
      <c r="I7" s="17" t="s">
        <v>71</v>
      </c>
      <c r="J7" s="17" t="s">
        <v>71</v>
      </c>
      <c r="K7" s="17" t="s">
        <v>71</v>
      </c>
      <c r="L7" s="17" t="s">
        <v>71</v>
      </c>
      <c r="M7" s="17" t="s">
        <v>71</v>
      </c>
      <c r="N7" s="17" t="s">
        <v>71</v>
      </c>
      <c r="O7" s="17" t="s">
        <v>71</v>
      </c>
    </row>
    <row r="8" spans="1:15">
      <c r="A8" s="58" t="s">
        <v>6</v>
      </c>
      <c r="B8" s="19" t="s">
        <v>11</v>
      </c>
      <c r="C8" s="4" t="s">
        <v>45</v>
      </c>
      <c r="D8" s="19" t="s">
        <v>65</v>
      </c>
      <c r="E8" s="17" t="s">
        <v>71</v>
      </c>
      <c r="F8" s="17" t="s">
        <v>71</v>
      </c>
      <c r="G8" s="17" t="s">
        <v>71</v>
      </c>
      <c r="H8" s="17" t="s">
        <v>71</v>
      </c>
      <c r="I8" s="20" t="s">
        <v>72</v>
      </c>
      <c r="J8" s="20" t="s">
        <v>72</v>
      </c>
      <c r="K8" s="20" t="s">
        <v>72</v>
      </c>
      <c r="L8" s="17" t="s">
        <v>71</v>
      </c>
      <c r="M8" s="17" t="s">
        <v>71</v>
      </c>
      <c r="N8" s="17" t="s">
        <v>71</v>
      </c>
      <c r="O8" s="17" t="s">
        <v>71</v>
      </c>
    </row>
    <row r="9" spans="1:15">
      <c r="A9" s="58" t="s">
        <v>6</v>
      </c>
      <c r="B9" s="19" t="s">
        <v>12</v>
      </c>
      <c r="C9" s="4" t="s">
        <v>45</v>
      </c>
      <c r="D9" s="19" t="s">
        <v>66</v>
      </c>
      <c r="E9" s="17" t="s">
        <v>71</v>
      </c>
      <c r="F9" s="17" t="s">
        <v>71</v>
      </c>
      <c r="G9" s="17" t="s">
        <v>71</v>
      </c>
      <c r="H9" s="17" t="s">
        <v>71</v>
      </c>
      <c r="I9" s="20" t="s">
        <v>72</v>
      </c>
      <c r="J9" s="20" t="s">
        <v>72</v>
      </c>
      <c r="K9" s="20" t="s">
        <v>72</v>
      </c>
      <c r="L9" s="17" t="s">
        <v>71</v>
      </c>
      <c r="M9" s="17" t="s">
        <v>71</v>
      </c>
      <c r="N9" s="17" t="s">
        <v>71</v>
      </c>
      <c r="O9" s="17" t="s">
        <v>71</v>
      </c>
    </row>
    <row r="10" spans="1:15">
      <c r="A10" s="58" t="s">
        <v>6</v>
      </c>
      <c r="B10" s="19" t="s">
        <v>13</v>
      </c>
      <c r="C10" s="4" t="s">
        <v>45</v>
      </c>
      <c r="D10" s="19" t="s">
        <v>0</v>
      </c>
      <c r="E10" s="17" t="s">
        <v>71</v>
      </c>
      <c r="F10" s="17" t="s">
        <v>71</v>
      </c>
      <c r="G10" s="17" t="s">
        <v>71</v>
      </c>
      <c r="H10" s="17" t="s">
        <v>71</v>
      </c>
      <c r="I10" s="17" t="s">
        <v>71</v>
      </c>
      <c r="J10" s="17" t="s">
        <v>71</v>
      </c>
      <c r="K10" s="17" t="s">
        <v>71</v>
      </c>
      <c r="L10" s="17" t="s">
        <v>71</v>
      </c>
      <c r="M10" s="17" t="s">
        <v>71</v>
      </c>
      <c r="N10" s="17" t="s">
        <v>71</v>
      </c>
      <c r="O10" s="17" t="s">
        <v>71</v>
      </c>
    </row>
    <row r="11" spans="1:15">
      <c r="A11" s="58" t="s">
        <v>6</v>
      </c>
      <c r="B11" s="19" t="s">
        <v>14</v>
      </c>
      <c r="C11" s="4" t="s">
        <v>45</v>
      </c>
      <c r="D11" s="19" t="s">
        <v>0</v>
      </c>
      <c r="E11" s="17" t="s">
        <v>71</v>
      </c>
      <c r="F11" s="17" t="s">
        <v>71</v>
      </c>
      <c r="G11" s="17" t="s">
        <v>71</v>
      </c>
      <c r="H11" s="17" t="s">
        <v>71</v>
      </c>
      <c r="I11" s="17" t="s">
        <v>71</v>
      </c>
      <c r="J11" s="17" t="s">
        <v>71</v>
      </c>
      <c r="K11" s="17" t="s">
        <v>71</v>
      </c>
      <c r="L11" s="17" t="s">
        <v>71</v>
      </c>
      <c r="M11" s="17" t="s">
        <v>71</v>
      </c>
      <c r="N11" s="17" t="s">
        <v>71</v>
      </c>
      <c r="O11" s="17" t="s">
        <v>71</v>
      </c>
    </row>
    <row r="12" spans="1:15" s="1" customFormat="1" hidden="1">
      <c r="A12" s="3" t="s">
        <v>6</v>
      </c>
      <c r="B12" s="6" t="s">
        <v>15</v>
      </c>
      <c r="C12" s="4" t="s">
        <v>46</v>
      </c>
      <c r="D12" s="4" t="s">
        <v>67</v>
      </c>
      <c r="E12" s="4" t="s">
        <v>67</v>
      </c>
      <c r="F12" s="4" t="s">
        <v>67</v>
      </c>
      <c r="G12" s="4" t="s">
        <v>67</v>
      </c>
      <c r="H12" s="4" t="s">
        <v>67</v>
      </c>
      <c r="I12" s="4" t="s">
        <v>67</v>
      </c>
      <c r="J12" s="4" t="s">
        <v>67</v>
      </c>
      <c r="K12" s="4" t="s">
        <v>67</v>
      </c>
      <c r="L12" s="4" t="s">
        <v>67</v>
      </c>
      <c r="M12" s="4" t="s">
        <v>67</v>
      </c>
      <c r="N12" s="4" t="s">
        <v>67</v>
      </c>
      <c r="O12" s="4" t="s">
        <v>67</v>
      </c>
    </row>
    <row r="13" spans="1:15" s="1" customFormat="1" hidden="1">
      <c r="A13" s="3" t="s">
        <v>6</v>
      </c>
      <c r="B13" s="6" t="s">
        <v>16</v>
      </c>
      <c r="C13" s="4" t="s">
        <v>47</v>
      </c>
      <c r="D13" s="4" t="s">
        <v>67</v>
      </c>
      <c r="E13" s="4" t="s">
        <v>67</v>
      </c>
      <c r="F13" s="4" t="s">
        <v>67</v>
      </c>
      <c r="G13" s="4" t="s">
        <v>67</v>
      </c>
      <c r="H13" s="4" t="s">
        <v>67</v>
      </c>
      <c r="I13" s="4" t="s">
        <v>67</v>
      </c>
      <c r="J13" s="4" t="s">
        <v>67</v>
      </c>
      <c r="K13" s="4" t="s">
        <v>67</v>
      </c>
      <c r="L13" s="4" t="s">
        <v>67</v>
      </c>
      <c r="M13" s="4" t="s">
        <v>67</v>
      </c>
      <c r="N13" s="4" t="s">
        <v>67</v>
      </c>
      <c r="O13" s="4" t="s">
        <v>67</v>
      </c>
    </row>
    <row r="14" spans="1:15" s="1" customFormat="1" hidden="1">
      <c r="A14" s="3" t="s">
        <v>6</v>
      </c>
      <c r="B14" s="6" t="s">
        <v>17</v>
      </c>
      <c r="C14" s="4" t="s">
        <v>47</v>
      </c>
      <c r="D14" s="4" t="s">
        <v>67</v>
      </c>
      <c r="E14" s="4" t="s">
        <v>67</v>
      </c>
      <c r="F14" s="4" t="s">
        <v>67</v>
      </c>
      <c r="G14" s="4" t="s">
        <v>67</v>
      </c>
      <c r="H14" s="4" t="s">
        <v>67</v>
      </c>
      <c r="I14" s="4" t="s">
        <v>67</v>
      </c>
      <c r="J14" s="4" t="s">
        <v>67</v>
      </c>
      <c r="K14" s="4" t="s">
        <v>67</v>
      </c>
      <c r="L14" s="4" t="s">
        <v>67</v>
      </c>
      <c r="M14" s="4" t="s">
        <v>67</v>
      </c>
      <c r="N14" s="4" t="s">
        <v>67</v>
      </c>
      <c r="O14" s="4" t="s">
        <v>67</v>
      </c>
    </row>
    <row r="15" spans="1:15" s="1" customFormat="1" hidden="1">
      <c r="A15" s="3" t="s">
        <v>6</v>
      </c>
      <c r="B15" s="6" t="s">
        <v>18</v>
      </c>
      <c r="C15" s="4" t="s">
        <v>48</v>
      </c>
      <c r="D15" s="4" t="s">
        <v>67</v>
      </c>
      <c r="E15" s="4" t="s">
        <v>67</v>
      </c>
      <c r="F15" s="4" t="s">
        <v>67</v>
      </c>
      <c r="G15" s="4" t="s">
        <v>67</v>
      </c>
      <c r="H15" s="4" t="s">
        <v>67</v>
      </c>
      <c r="I15" s="4" t="s">
        <v>67</v>
      </c>
      <c r="J15" s="4" t="s">
        <v>67</v>
      </c>
      <c r="K15" s="4" t="s">
        <v>67</v>
      </c>
      <c r="L15" s="4" t="s">
        <v>67</v>
      </c>
      <c r="M15" s="4" t="s">
        <v>67</v>
      </c>
      <c r="N15" s="4" t="s">
        <v>67</v>
      </c>
      <c r="O15" s="4" t="s">
        <v>67</v>
      </c>
    </row>
    <row r="16" spans="1:15" s="1" customFormat="1" hidden="1">
      <c r="A16" s="3" t="s">
        <v>6</v>
      </c>
      <c r="B16" s="6" t="s">
        <v>19</v>
      </c>
      <c r="C16" s="4" t="s">
        <v>49</v>
      </c>
      <c r="D16" s="4" t="s">
        <v>67</v>
      </c>
      <c r="E16" s="4" t="s">
        <v>67</v>
      </c>
      <c r="F16" s="4" t="s">
        <v>67</v>
      </c>
      <c r="G16" s="4" t="s">
        <v>67</v>
      </c>
      <c r="H16" s="4" t="s">
        <v>67</v>
      </c>
      <c r="I16" s="4" t="s">
        <v>67</v>
      </c>
      <c r="J16" s="4" t="s">
        <v>67</v>
      </c>
      <c r="K16" s="4" t="s">
        <v>67</v>
      </c>
      <c r="L16" s="4" t="s">
        <v>67</v>
      </c>
      <c r="M16" s="4" t="s">
        <v>67</v>
      </c>
      <c r="N16" s="4" t="s">
        <v>67</v>
      </c>
      <c r="O16" s="4" t="s">
        <v>67</v>
      </c>
    </row>
    <row r="17" spans="1:15" ht="36">
      <c r="A17" s="58" t="s">
        <v>20</v>
      </c>
      <c r="B17" s="60" t="s">
        <v>234</v>
      </c>
      <c r="C17" s="4" t="s">
        <v>45</v>
      </c>
      <c r="D17" s="19" t="s">
        <v>63</v>
      </c>
      <c r="E17" s="17" t="s">
        <v>71</v>
      </c>
      <c r="F17" s="17" t="s">
        <v>71</v>
      </c>
      <c r="G17" s="17" t="s">
        <v>71</v>
      </c>
      <c r="H17" s="17" t="s">
        <v>71</v>
      </c>
      <c r="I17" s="17" t="s">
        <v>71</v>
      </c>
      <c r="J17" s="17" t="s">
        <v>71</v>
      </c>
      <c r="K17" s="17" t="s">
        <v>71</v>
      </c>
      <c r="L17" s="17" t="s">
        <v>71</v>
      </c>
      <c r="M17" s="17" t="s">
        <v>71</v>
      </c>
      <c r="N17" s="17" t="s">
        <v>71</v>
      </c>
      <c r="O17" s="17" t="s">
        <v>71</v>
      </c>
    </row>
    <row r="18" spans="1:15">
      <c r="A18" s="58" t="s">
        <v>20</v>
      </c>
      <c r="B18" s="19" t="s">
        <v>21</v>
      </c>
      <c r="C18" s="4" t="s">
        <v>45</v>
      </c>
      <c r="D18" s="19" t="s">
        <v>63</v>
      </c>
      <c r="E18" s="17" t="s">
        <v>71</v>
      </c>
      <c r="F18" s="17" t="s">
        <v>71</v>
      </c>
      <c r="G18" s="17" t="s">
        <v>71</v>
      </c>
      <c r="H18" s="17" t="s">
        <v>71</v>
      </c>
      <c r="I18" s="17" t="s">
        <v>71</v>
      </c>
      <c r="J18" s="17" t="s">
        <v>71</v>
      </c>
      <c r="K18" s="17" t="s">
        <v>71</v>
      </c>
      <c r="L18" s="17" t="s">
        <v>71</v>
      </c>
      <c r="M18" s="17" t="s">
        <v>71</v>
      </c>
      <c r="N18" s="17" t="s">
        <v>71</v>
      </c>
      <c r="O18" s="17" t="s">
        <v>71</v>
      </c>
    </row>
    <row r="19" spans="1:15">
      <c r="A19" s="58" t="s">
        <v>20</v>
      </c>
      <c r="B19" s="19" t="s">
        <v>22</v>
      </c>
      <c r="C19" s="4" t="s">
        <v>45</v>
      </c>
      <c r="D19" s="19" t="s">
        <v>63</v>
      </c>
      <c r="E19" s="17" t="s">
        <v>71</v>
      </c>
      <c r="F19" s="17" t="s">
        <v>71</v>
      </c>
      <c r="G19" s="17" t="s">
        <v>71</v>
      </c>
      <c r="H19" s="17" t="s">
        <v>71</v>
      </c>
      <c r="I19" s="17" t="s">
        <v>71</v>
      </c>
      <c r="J19" s="17" t="s">
        <v>71</v>
      </c>
      <c r="K19" s="17" t="s">
        <v>71</v>
      </c>
      <c r="L19" s="17" t="s">
        <v>71</v>
      </c>
      <c r="M19" s="17" t="s">
        <v>71</v>
      </c>
      <c r="N19" s="17" t="s">
        <v>71</v>
      </c>
      <c r="O19" s="17" t="s">
        <v>71</v>
      </c>
    </row>
    <row r="20" spans="1:15">
      <c r="A20" s="58" t="s">
        <v>20</v>
      </c>
      <c r="B20" s="19" t="s">
        <v>23</v>
      </c>
      <c r="C20" s="4" t="s">
        <v>45</v>
      </c>
      <c r="D20" s="19" t="s">
        <v>1</v>
      </c>
      <c r="E20" s="17" t="s">
        <v>71</v>
      </c>
      <c r="F20" s="17" t="s">
        <v>71</v>
      </c>
      <c r="G20" s="17" t="s">
        <v>71</v>
      </c>
      <c r="H20" s="17" t="s">
        <v>71</v>
      </c>
      <c r="I20" s="17" t="s">
        <v>71</v>
      </c>
      <c r="J20" s="17" t="s">
        <v>71</v>
      </c>
      <c r="K20" s="17" t="s">
        <v>71</v>
      </c>
      <c r="L20" s="17" t="s">
        <v>71</v>
      </c>
      <c r="M20" s="17" t="s">
        <v>71</v>
      </c>
      <c r="N20" s="17" t="s">
        <v>71</v>
      </c>
      <c r="O20" s="17" t="s">
        <v>71</v>
      </c>
    </row>
    <row r="21" spans="1:15">
      <c r="A21" s="58" t="s">
        <v>20</v>
      </c>
      <c r="B21" s="19" t="s">
        <v>24</v>
      </c>
      <c r="C21" s="4" t="s">
        <v>45</v>
      </c>
      <c r="D21" s="19" t="s">
        <v>65</v>
      </c>
      <c r="E21" s="17" t="s">
        <v>71</v>
      </c>
      <c r="F21" s="17" t="s">
        <v>71</v>
      </c>
      <c r="G21" s="17" t="s">
        <v>71</v>
      </c>
      <c r="H21" s="17" t="s">
        <v>71</v>
      </c>
      <c r="I21" s="20" t="s">
        <v>72</v>
      </c>
      <c r="J21" s="20" t="s">
        <v>72</v>
      </c>
      <c r="K21" s="20" t="s">
        <v>72</v>
      </c>
      <c r="L21" s="17" t="s">
        <v>71</v>
      </c>
      <c r="M21" s="17" t="s">
        <v>71</v>
      </c>
      <c r="N21" s="17" t="s">
        <v>71</v>
      </c>
      <c r="O21" s="17" t="s">
        <v>71</v>
      </c>
    </row>
    <row r="22" spans="1:15">
      <c r="A22" s="58" t="s">
        <v>20</v>
      </c>
      <c r="B22" s="19" t="s">
        <v>25</v>
      </c>
      <c r="C22" s="4" t="s">
        <v>45</v>
      </c>
      <c r="D22" s="19" t="s">
        <v>0</v>
      </c>
      <c r="E22" s="17" t="s">
        <v>71</v>
      </c>
      <c r="F22" s="17" t="s">
        <v>71</v>
      </c>
      <c r="G22" s="17" t="s">
        <v>71</v>
      </c>
      <c r="H22" s="17" t="s">
        <v>71</v>
      </c>
      <c r="I22" s="17" t="s">
        <v>71</v>
      </c>
      <c r="J22" s="17" t="s">
        <v>71</v>
      </c>
      <c r="K22" s="17" t="s">
        <v>71</v>
      </c>
      <c r="L22" s="17" t="s">
        <v>71</v>
      </c>
      <c r="M22" s="17" t="s">
        <v>71</v>
      </c>
      <c r="N22" s="17" t="s">
        <v>71</v>
      </c>
      <c r="O22" s="17" t="s">
        <v>71</v>
      </c>
    </row>
    <row r="23" spans="1:15" s="1" customFormat="1" hidden="1">
      <c r="A23" s="3" t="s">
        <v>20</v>
      </c>
      <c r="B23" s="6" t="s">
        <v>26</v>
      </c>
      <c r="C23" s="4" t="s">
        <v>49</v>
      </c>
      <c r="D23" s="4" t="s">
        <v>67</v>
      </c>
      <c r="E23" s="4" t="s">
        <v>67</v>
      </c>
      <c r="F23" s="4" t="s">
        <v>67</v>
      </c>
      <c r="G23" s="4" t="s">
        <v>67</v>
      </c>
      <c r="H23" s="4" t="s">
        <v>67</v>
      </c>
      <c r="I23" s="4" t="s">
        <v>67</v>
      </c>
      <c r="J23" s="4" t="s">
        <v>67</v>
      </c>
      <c r="K23" s="4" t="s">
        <v>67</v>
      </c>
      <c r="L23" s="4" t="s">
        <v>67</v>
      </c>
      <c r="M23" s="4" t="s">
        <v>67</v>
      </c>
      <c r="N23" s="4" t="s">
        <v>67</v>
      </c>
      <c r="O23" s="4" t="s">
        <v>67</v>
      </c>
    </row>
    <row r="24" spans="1:15">
      <c r="A24" s="58" t="s">
        <v>27</v>
      </c>
      <c r="B24" s="19" t="s">
        <v>28</v>
      </c>
      <c r="C24" s="4" t="s">
        <v>45</v>
      </c>
      <c r="D24" s="19" t="s">
        <v>63</v>
      </c>
      <c r="E24" s="17" t="s">
        <v>71</v>
      </c>
      <c r="F24" s="17" t="s">
        <v>71</v>
      </c>
      <c r="G24" s="17" t="s">
        <v>71</v>
      </c>
      <c r="H24" s="17" t="s">
        <v>71</v>
      </c>
      <c r="I24" s="17" t="s">
        <v>71</v>
      </c>
      <c r="J24" s="17" t="s">
        <v>71</v>
      </c>
      <c r="K24" s="17" t="s">
        <v>71</v>
      </c>
      <c r="L24" s="17" t="s">
        <v>71</v>
      </c>
      <c r="M24" s="17" t="s">
        <v>71</v>
      </c>
      <c r="N24" s="17" t="s">
        <v>71</v>
      </c>
      <c r="O24" s="17" t="s">
        <v>71</v>
      </c>
    </row>
    <row r="25" spans="1:15">
      <c r="A25" s="58" t="s">
        <v>27</v>
      </c>
      <c r="B25" s="19" t="s">
        <v>29</v>
      </c>
      <c r="C25" s="4" t="s">
        <v>45</v>
      </c>
      <c r="D25" s="19" t="s">
        <v>1</v>
      </c>
      <c r="E25" s="17" t="s">
        <v>71</v>
      </c>
      <c r="F25" s="17" t="s">
        <v>71</v>
      </c>
      <c r="G25" s="17" t="s">
        <v>71</v>
      </c>
      <c r="H25" s="17" t="s">
        <v>71</v>
      </c>
      <c r="I25" s="17" t="s">
        <v>71</v>
      </c>
      <c r="J25" s="17" t="s">
        <v>71</v>
      </c>
      <c r="K25" s="17" t="s">
        <v>71</v>
      </c>
      <c r="L25" s="17" t="s">
        <v>71</v>
      </c>
      <c r="M25" s="17" t="s">
        <v>71</v>
      </c>
      <c r="N25" s="17" t="s">
        <v>71</v>
      </c>
      <c r="O25" s="17" t="s">
        <v>71</v>
      </c>
    </row>
    <row r="26" spans="1:15">
      <c r="A26" s="58" t="s">
        <v>27</v>
      </c>
      <c r="B26" s="19" t="s">
        <v>30</v>
      </c>
      <c r="C26" s="4" t="s">
        <v>45</v>
      </c>
      <c r="D26" s="19" t="s">
        <v>65</v>
      </c>
      <c r="E26" s="17" t="s">
        <v>71</v>
      </c>
      <c r="F26" s="17" t="s">
        <v>71</v>
      </c>
      <c r="G26" s="17" t="s">
        <v>71</v>
      </c>
      <c r="H26" s="17" t="s">
        <v>71</v>
      </c>
      <c r="I26" s="20" t="s">
        <v>72</v>
      </c>
      <c r="J26" s="20" t="s">
        <v>72</v>
      </c>
      <c r="K26" s="20" t="s">
        <v>72</v>
      </c>
      <c r="L26" s="17" t="s">
        <v>71</v>
      </c>
      <c r="M26" s="17" t="s">
        <v>71</v>
      </c>
      <c r="N26" s="17" t="s">
        <v>71</v>
      </c>
      <c r="O26" s="17" t="s">
        <v>71</v>
      </c>
    </row>
    <row r="27" spans="1:15">
      <c r="A27" s="58" t="s">
        <v>27</v>
      </c>
      <c r="B27" s="19" t="s">
        <v>31</v>
      </c>
      <c r="C27" s="4" t="s">
        <v>45</v>
      </c>
      <c r="D27" s="19" t="s">
        <v>66</v>
      </c>
      <c r="E27" s="17" t="s">
        <v>71</v>
      </c>
      <c r="F27" s="17" t="s">
        <v>71</v>
      </c>
      <c r="G27" s="17" t="s">
        <v>71</v>
      </c>
      <c r="H27" s="17" t="s">
        <v>71</v>
      </c>
      <c r="I27" s="20" t="s">
        <v>72</v>
      </c>
      <c r="J27" s="20" t="s">
        <v>72</v>
      </c>
      <c r="K27" s="20" t="s">
        <v>72</v>
      </c>
      <c r="L27" s="17" t="s">
        <v>71</v>
      </c>
      <c r="M27" s="17" t="s">
        <v>71</v>
      </c>
      <c r="N27" s="17" t="s">
        <v>71</v>
      </c>
      <c r="O27" s="17" t="s">
        <v>71</v>
      </c>
    </row>
    <row r="28" spans="1:15" s="1" customFormat="1" hidden="1">
      <c r="A28" s="3" t="s">
        <v>27</v>
      </c>
      <c r="B28" s="6" t="s">
        <v>32</v>
      </c>
      <c r="C28" s="4" t="s">
        <v>46</v>
      </c>
      <c r="D28" s="4" t="s">
        <v>67</v>
      </c>
      <c r="E28" s="4" t="s">
        <v>67</v>
      </c>
      <c r="F28" s="4" t="s">
        <v>67</v>
      </c>
      <c r="G28" s="4" t="s">
        <v>67</v>
      </c>
      <c r="H28" s="4" t="s">
        <v>67</v>
      </c>
      <c r="I28" s="4" t="s">
        <v>67</v>
      </c>
      <c r="J28" s="4" t="s">
        <v>67</v>
      </c>
      <c r="K28" s="4" t="s">
        <v>67</v>
      </c>
      <c r="L28" s="4" t="s">
        <v>67</v>
      </c>
      <c r="M28" s="4" t="s">
        <v>67</v>
      </c>
      <c r="N28" s="4" t="s">
        <v>67</v>
      </c>
      <c r="O28" s="4" t="s">
        <v>67</v>
      </c>
    </row>
    <row r="29" spans="1:15" s="1" customFormat="1" hidden="1">
      <c r="A29" s="3" t="s">
        <v>27</v>
      </c>
      <c r="B29" s="6" t="s">
        <v>33</v>
      </c>
      <c r="C29" s="4" t="s">
        <v>49</v>
      </c>
      <c r="D29" s="4" t="s">
        <v>67</v>
      </c>
      <c r="E29" s="4" t="s">
        <v>67</v>
      </c>
      <c r="F29" s="4" t="s">
        <v>67</v>
      </c>
      <c r="G29" s="4" t="s">
        <v>67</v>
      </c>
      <c r="H29" s="4" t="s">
        <v>67</v>
      </c>
      <c r="I29" s="4" t="s">
        <v>67</v>
      </c>
      <c r="J29" s="4" t="s">
        <v>67</v>
      </c>
      <c r="K29" s="4" t="s">
        <v>67</v>
      </c>
      <c r="L29" s="4" t="s">
        <v>67</v>
      </c>
      <c r="M29" s="4" t="s">
        <v>67</v>
      </c>
      <c r="N29" s="4" t="s">
        <v>67</v>
      </c>
      <c r="O29" s="4" t="s">
        <v>67</v>
      </c>
    </row>
    <row r="30" spans="1:15">
      <c r="A30" s="58" t="s">
        <v>34</v>
      </c>
      <c r="B30" s="19" t="s">
        <v>35</v>
      </c>
      <c r="C30" s="4" t="s">
        <v>45</v>
      </c>
      <c r="D30" s="19" t="s">
        <v>63</v>
      </c>
      <c r="E30" s="17" t="s">
        <v>71</v>
      </c>
      <c r="F30" s="17" t="s">
        <v>71</v>
      </c>
      <c r="G30" s="17" t="s">
        <v>71</v>
      </c>
      <c r="H30" s="17" t="s">
        <v>71</v>
      </c>
      <c r="I30" s="17" t="s">
        <v>71</v>
      </c>
      <c r="J30" s="17" t="s">
        <v>71</v>
      </c>
      <c r="K30" s="17" t="s">
        <v>71</v>
      </c>
      <c r="L30" s="17" t="s">
        <v>71</v>
      </c>
      <c r="M30" s="17" t="s">
        <v>71</v>
      </c>
      <c r="N30" s="17" t="s">
        <v>71</v>
      </c>
      <c r="O30" s="17" t="s">
        <v>71</v>
      </c>
    </row>
    <row r="31" spans="1:15">
      <c r="A31" s="58" t="s">
        <v>36</v>
      </c>
      <c r="B31" s="19" t="s">
        <v>37</v>
      </c>
      <c r="C31" s="4" t="s">
        <v>45</v>
      </c>
      <c r="D31" s="19" t="s">
        <v>63</v>
      </c>
      <c r="E31" s="17" t="s">
        <v>71</v>
      </c>
      <c r="F31" s="17" t="s">
        <v>71</v>
      </c>
      <c r="G31" s="17" t="s">
        <v>71</v>
      </c>
      <c r="H31" s="17" t="s">
        <v>71</v>
      </c>
      <c r="I31" s="17" t="s">
        <v>71</v>
      </c>
      <c r="J31" s="17" t="s">
        <v>71</v>
      </c>
      <c r="K31" s="17" t="s">
        <v>71</v>
      </c>
      <c r="L31" s="17" t="s">
        <v>71</v>
      </c>
      <c r="M31" s="17" t="s">
        <v>71</v>
      </c>
      <c r="N31" s="17" t="s">
        <v>71</v>
      </c>
      <c r="O31" s="17" t="s">
        <v>71</v>
      </c>
    </row>
    <row r="32" spans="1:15">
      <c r="A32" s="58" t="s">
        <v>36</v>
      </c>
      <c r="B32" s="19" t="s">
        <v>38</v>
      </c>
      <c r="C32" s="4" t="s">
        <v>45</v>
      </c>
      <c r="D32" s="19" t="s">
        <v>65</v>
      </c>
      <c r="E32" s="17" t="s">
        <v>71</v>
      </c>
      <c r="F32" s="17" t="s">
        <v>71</v>
      </c>
      <c r="G32" s="17" t="s">
        <v>71</v>
      </c>
      <c r="H32" s="17" t="s">
        <v>71</v>
      </c>
      <c r="I32" s="20" t="s">
        <v>72</v>
      </c>
      <c r="J32" s="20" t="s">
        <v>72</v>
      </c>
      <c r="K32" s="20" t="s">
        <v>72</v>
      </c>
      <c r="L32" s="17" t="s">
        <v>71</v>
      </c>
      <c r="M32" s="17" t="s">
        <v>71</v>
      </c>
      <c r="N32" s="17" t="s">
        <v>71</v>
      </c>
      <c r="O32" s="17" t="s">
        <v>71</v>
      </c>
    </row>
    <row r="33" spans="1:15" s="1" customFormat="1" hidden="1">
      <c r="A33" s="3" t="s">
        <v>36</v>
      </c>
      <c r="B33" s="6" t="s">
        <v>39</v>
      </c>
      <c r="C33" s="4" t="s">
        <v>49</v>
      </c>
      <c r="D33" s="4" t="s">
        <v>67</v>
      </c>
      <c r="E33" s="4" t="s">
        <v>67</v>
      </c>
      <c r="F33" s="4" t="s">
        <v>67</v>
      </c>
      <c r="G33" s="4" t="s">
        <v>67</v>
      </c>
      <c r="H33" s="4" t="s">
        <v>67</v>
      </c>
      <c r="I33" s="4" t="s">
        <v>67</v>
      </c>
      <c r="J33" s="4" t="s">
        <v>67</v>
      </c>
      <c r="K33" s="4" t="s">
        <v>67</v>
      </c>
      <c r="L33" s="4" t="s">
        <v>67</v>
      </c>
      <c r="M33" s="4" t="s">
        <v>67</v>
      </c>
      <c r="N33" s="4" t="s">
        <v>67</v>
      </c>
      <c r="O33" s="4" t="s">
        <v>67</v>
      </c>
    </row>
    <row r="34" spans="1:15">
      <c r="A34" s="58" t="s">
        <v>40</v>
      </c>
      <c r="B34" s="19" t="s">
        <v>41</v>
      </c>
      <c r="C34" s="4" t="s">
        <v>45</v>
      </c>
      <c r="D34" s="19" t="s">
        <v>1</v>
      </c>
      <c r="E34" s="17" t="s">
        <v>71</v>
      </c>
      <c r="F34" s="17" t="s">
        <v>71</v>
      </c>
      <c r="G34" s="17" t="s">
        <v>71</v>
      </c>
      <c r="H34" s="17" t="s">
        <v>71</v>
      </c>
      <c r="I34" s="17" t="s">
        <v>71</v>
      </c>
      <c r="J34" s="17" t="s">
        <v>71</v>
      </c>
      <c r="K34" s="17" t="s">
        <v>71</v>
      </c>
      <c r="L34" s="17" t="s">
        <v>71</v>
      </c>
      <c r="M34" s="17" t="s">
        <v>71</v>
      </c>
      <c r="N34" s="17" t="s">
        <v>71</v>
      </c>
      <c r="O34" s="17" t="s">
        <v>71</v>
      </c>
    </row>
    <row r="35" spans="1:15">
      <c r="A35" s="58" t="s">
        <v>40</v>
      </c>
      <c r="B35" s="19" t="s">
        <v>42</v>
      </c>
      <c r="C35" s="4" t="s">
        <v>45</v>
      </c>
      <c r="D35" s="19" t="s">
        <v>0</v>
      </c>
      <c r="E35" s="17" t="s">
        <v>71</v>
      </c>
      <c r="F35" s="17" t="s">
        <v>71</v>
      </c>
      <c r="G35" s="17" t="s">
        <v>71</v>
      </c>
      <c r="H35" s="17" t="s">
        <v>71</v>
      </c>
      <c r="I35" s="17" t="s">
        <v>71</v>
      </c>
      <c r="J35" s="17" t="s">
        <v>71</v>
      </c>
      <c r="K35" s="17" t="s">
        <v>71</v>
      </c>
      <c r="L35" s="17" t="s">
        <v>71</v>
      </c>
      <c r="M35" s="17" t="s">
        <v>71</v>
      </c>
      <c r="N35" s="17" t="s">
        <v>71</v>
      </c>
      <c r="O35" s="17" t="s">
        <v>71</v>
      </c>
    </row>
    <row r="36" spans="1:15" s="1" customFormat="1" hidden="1">
      <c r="A36" s="3" t="s">
        <v>40</v>
      </c>
      <c r="B36" s="6" t="s">
        <v>43</v>
      </c>
      <c r="C36" s="4" t="s">
        <v>49</v>
      </c>
      <c r="D36" s="4" t="s">
        <v>67</v>
      </c>
      <c r="E36" s="4" t="s">
        <v>67</v>
      </c>
      <c r="F36" s="4" t="s">
        <v>67</v>
      </c>
      <c r="G36" s="4" t="s">
        <v>67</v>
      </c>
      <c r="H36" s="4" t="s">
        <v>67</v>
      </c>
      <c r="I36" s="4" t="s">
        <v>67</v>
      </c>
      <c r="J36" s="4" t="s">
        <v>67</v>
      </c>
      <c r="K36" s="4" t="s">
        <v>67</v>
      </c>
      <c r="L36" s="4" t="s">
        <v>67</v>
      </c>
      <c r="M36" s="4" t="s">
        <v>67</v>
      </c>
      <c r="N36" s="4" t="s">
        <v>67</v>
      </c>
      <c r="O36" s="4" t="s">
        <v>67</v>
      </c>
    </row>
  </sheetData>
  <autoFilter ref="A1:O36">
    <filterColumn colId="3">
      <filters blank="1">
        <filter val="Cement"/>
        <filter val="Ceramics"/>
        <filter val="Concrete Lightweight"/>
        <filter val="Concrete Precast"/>
        <filter val="Concrete Ready Mix"/>
        <filter val="Concrete Roof"/>
        <filter val="Fibercement Roof"/>
        <filter val="Gypsum"/>
      </filters>
    </filterColumn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</autoFilter>
  <mergeCells count="11">
    <mergeCell ref="E1:O1"/>
    <mergeCell ref="A1:A3"/>
    <mergeCell ref="B1:B3"/>
    <mergeCell ref="C1:C3"/>
    <mergeCell ref="D1:D3"/>
    <mergeCell ref="G2:H2"/>
    <mergeCell ref="I2:L2"/>
    <mergeCell ref="M2:N2"/>
    <mergeCell ref="O2:O3"/>
    <mergeCell ref="E2:E3"/>
    <mergeCell ref="F2:F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P22"/>
  <sheetViews>
    <sheetView workbookViewId="0">
      <selection activeCell="D22" sqref="D22"/>
    </sheetView>
  </sheetViews>
  <sheetFormatPr defaultColWidth="8.7109375" defaultRowHeight="12"/>
  <cols>
    <col min="1" max="1" width="15.5703125" style="7" bestFit="1" customWidth="1"/>
    <col min="2" max="2" width="11" style="1" customWidth="1"/>
    <col min="3" max="11" width="8.5703125" style="1" customWidth="1"/>
    <col min="12" max="12" width="20.5703125" style="1" customWidth="1"/>
    <col min="13" max="14" width="8.5703125" style="1" customWidth="1"/>
    <col min="15" max="15" width="9.85546875" style="1" customWidth="1"/>
    <col min="16" max="16" width="8.5703125" style="1" customWidth="1"/>
    <col min="17" max="17" width="12.7109375" style="1" bestFit="1" customWidth="1"/>
    <col min="18" max="18" width="3.28515625" style="1" bestFit="1" customWidth="1"/>
    <col min="19" max="19" width="9.42578125" style="1" bestFit="1" customWidth="1"/>
    <col min="20" max="16384" width="8.7109375" style="1"/>
  </cols>
  <sheetData>
    <row r="2" spans="1:16">
      <c r="A2" s="230" t="s">
        <v>212</v>
      </c>
      <c r="B2" s="230"/>
      <c r="C2" s="230"/>
      <c r="D2" s="230"/>
      <c r="E2" s="230"/>
      <c r="F2" s="230"/>
      <c r="G2" s="230"/>
      <c r="H2" s="230"/>
      <c r="I2" s="230"/>
      <c r="J2" s="230"/>
      <c r="K2" s="230"/>
      <c r="L2" s="230"/>
      <c r="M2" s="230"/>
      <c r="N2" s="230"/>
      <c r="O2" s="230"/>
      <c r="P2" s="230"/>
    </row>
    <row r="3" spans="1:16" s="9" customFormat="1" ht="24">
      <c r="A3" s="10" t="s">
        <v>209</v>
      </c>
      <c r="B3" s="10" t="s">
        <v>129</v>
      </c>
      <c r="C3" s="10" t="s">
        <v>130</v>
      </c>
      <c r="D3" s="10" t="s">
        <v>125</v>
      </c>
      <c r="E3" s="10" t="s">
        <v>3</v>
      </c>
      <c r="F3" s="10" t="s">
        <v>126</v>
      </c>
      <c r="G3" s="10" t="s">
        <v>63</v>
      </c>
      <c r="H3" s="10" t="s">
        <v>131</v>
      </c>
      <c r="I3" s="10" t="s">
        <v>132</v>
      </c>
      <c r="J3" s="11" t="s">
        <v>210</v>
      </c>
      <c r="K3" s="10" t="s">
        <v>133</v>
      </c>
      <c r="L3" s="11" t="s">
        <v>211</v>
      </c>
      <c r="M3" s="10" t="s">
        <v>207</v>
      </c>
      <c r="N3" s="10" t="s">
        <v>123</v>
      </c>
      <c r="O3" s="14" t="s">
        <v>124</v>
      </c>
      <c r="P3" s="11" t="s">
        <v>208</v>
      </c>
    </row>
    <row r="4" spans="1:16" ht="37.5" customHeight="1">
      <c r="A4" s="19" t="s">
        <v>63</v>
      </c>
      <c r="B4" s="17" t="s">
        <v>71</v>
      </c>
      <c r="C4" s="17" t="s">
        <v>71</v>
      </c>
      <c r="D4" s="17" t="s">
        <v>71</v>
      </c>
      <c r="E4" s="17" t="s">
        <v>71</v>
      </c>
      <c r="F4" s="17" t="s">
        <v>71</v>
      </c>
      <c r="G4" s="20" t="s">
        <v>72</v>
      </c>
      <c r="H4" s="20" t="s">
        <v>72</v>
      </c>
      <c r="I4" s="20" t="s">
        <v>72</v>
      </c>
      <c r="J4" s="20" t="s">
        <v>72</v>
      </c>
      <c r="K4" s="20" t="s">
        <v>72</v>
      </c>
      <c r="L4" s="18" t="s">
        <v>224</v>
      </c>
      <c r="M4" s="17" t="s">
        <v>71</v>
      </c>
      <c r="N4" s="17" t="s">
        <v>71</v>
      </c>
      <c r="O4" s="17" t="s">
        <v>71</v>
      </c>
      <c r="P4" s="17" t="s">
        <v>71</v>
      </c>
    </row>
    <row r="5" spans="1:16" ht="28.5" customHeight="1">
      <c r="A5" s="19" t="s">
        <v>65</v>
      </c>
      <c r="B5" s="17" t="s">
        <v>71</v>
      </c>
      <c r="C5" s="20" t="s">
        <v>72</v>
      </c>
      <c r="D5" s="17" t="s">
        <v>71</v>
      </c>
      <c r="E5" s="20" t="s">
        <v>72</v>
      </c>
      <c r="F5" s="20" t="s">
        <v>72</v>
      </c>
      <c r="G5" s="17" t="s">
        <v>71</v>
      </c>
      <c r="H5" s="20" t="s">
        <v>72</v>
      </c>
      <c r="I5" s="17" t="s">
        <v>71</v>
      </c>
      <c r="J5" s="20" t="s">
        <v>72</v>
      </c>
      <c r="K5" s="20" t="s">
        <v>72</v>
      </c>
      <c r="L5" s="18" t="s">
        <v>225</v>
      </c>
      <c r="M5" s="17" t="s">
        <v>71</v>
      </c>
      <c r="N5" s="20" t="s">
        <v>72</v>
      </c>
      <c r="O5" s="20" t="s">
        <v>72</v>
      </c>
      <c r="P5" s="20" t="s">
        <v>72</v>
      </c>
    </row>
    <row r="6" spans="1:16">
      <c r="A6" s="19" t="s">
        <v>66</v>
      </c>
      <c r="B6" s="17" t="s">
        <v>71</v>
      </c>
      <c r="C6" s="20" t="s">
        <v>72</v>
      </c>
      <c r="D6" s="17" t="s">
        <v>71</v>
      </c>
      <c r="E6" s="20" t="s">
        <v>72</v>
      </c>
      <c r="F6" s="20" t="s">
        <v>72</v>
      </c>
      <c r="G6" s="17" t="s">
        <v>71</v>
      </c>
      <c r="H6" s="20" t="s">
        <v>72</v>
      </c>
      <c r="I6" s="17" t="s">
        <v>71</v>
      </c>
      <c r="J6" s="20" t="s">
        <v>72</v>
      </c>
      <c r="K6" s="20" t="s">
        <v>72</v>
      </c>
      <c r="L6" s="17" t="s">
        <v>71</v>
      </c>
      <c r="M6" s="17" t="s">
        <v>71</v>
      </c>
      <c r="N6" s="20" t="s">
        <v>72</v>
      </c>
      <c r="O6" s="20" t="s">
        <v>72</v>
      </c>
      <c r="P6" s="20" t="s">
        <v>72</v>
      </c>
    </row>
    <row r="7" spans="1:16">
      <c r="A7" s="19" t="s">
        <v>1</v>
      </c>
      <c r="B7" s="17" t="s">
        <v>71</v>
      </c>
      <c r="C7" s="20" t="s">
        <v>72</v>
      </c>
      <c r="D7" s="17" t="s">
        <v>71</v>
      </c>
      <c r="E7" s="20" t="s">
        <v>72</v>
      </c>
      <c r="F7" s="20" t="s">
        <v>72</v>
      </c>
      <c r="G7" s="17" t="s">
        <v>71</v>
      </c>
      <c r="H7" s="20" t="s">
        <v>72</v>
      </c>
      <c r="I7" s="20" t="s">
        <v>72</v>
      </c>
      <c r="J7" s="20" t="s">
        <v>72</v>
      </c>
      <c r="K7" s="20" t="s">
        <v>72</v>
      </c>
      <c r="L7" s="20" t="s">
        <v>72</v>
      </c>
      <c r="M7" s="17" t="s">
        <v>71</v>
      </c>
      <c r="N7" s="20" t="s">
        <v>72</v>
      </c>
      <c r="O7" s="20" t="s">
        <v>72</v>
      </c>
      <c r="P7" s="20" t="s">
        <v>72</v>
      </c>
    </row>
    <row r="8" spans="1:16" ht="24">
      <c r="A8" s="25" t="s">
        <v>2</v>
      </c>
      <c r="B8" s="26" t="s">
        <v>71</v>
      </c>
      <c r="C8" s="27" t="s">
        <v>72</v>
      </c>
      <c r="D8" s="26" t="s">
        <v>71</v>
      </c>
      <c r="E8" s="26" t="s">
        <v>71</v>
      </c>
      <c r="F8" s="27" t="s">
        <v>72</v>
      </c>
      <c r="G8" s="26" t="s">
        <v>71</v>
      </c>
      <c r="H8" s="20" t="s">
        <v>72</v>
      </c>
      <c r="I8" s="20" t="s">
        <v>72</v>
      </c>
      <c r="J8" s="20" t="s">
        <v>72</v>
      </c>
      <c r="K8" s="20" t="s">
        <v>72</v>
      </c>
      <c r="L8" s="20" t="s">
        <v>72</v>
      </c>
      <c r="M8" s="17" t="s">
        <v>71</v>
      </c>
      <c r="N8" s="20" t="s">
        <v>72</v>
      </c>
      <c r="O8" s="20" t="s">
        <v>72</v>
      </c>
      <c r="P8" s="20" t="s">
        <v>72</v>
      </c>
    </row>
    <row r="9" spans="1:16">
      <c r="A9" s="28" t="s">
        <v>64</v>
      </c>
      <c r="B9" s="26" t="s">
        <v>71</v>
      </c>
      <c r="C9" s="27" t="s">
        <v>72</v>
      </c>
      <c r="D9" s="27" t="s">
        <v>72</v>
      </c>
      <c r="E9" s="27" t="s">
        <v>72</v>
      </c>
      <c r="F9" s="27" t="s">
        <v>72</v>
      </c>
      <c r="G9" s="26" t="s">
        <v>71</v>
      </c>
      <c r="H9" s="20" t="s">
        <v>72</v>
      </c>
      <c r="I9" s="20" t="s">
        <v>72</v>
      </c>
      <c r="J9" s="20" t="s">
        <v>72</v>
      </c>
      <c r="K9" s="20" t="s">
        <v>72</v>
      </c>
      <c r="L9" s="20" t="s">
        <v>72</v>
      </c>
      <c r="M9" s="17" t="s">
        <v>71</v>
      </c>
      <c r="N9" s="20" t="s">
        <v>72</v>
      </c>
      <c r="O9" s="20" t="s">
        <v>72</v>
      </c>
      <c r="P9" s="20" t="s">
        <v>72</v>
      </c>
    </row>
    <row r="10" spans="1:16">
      <c r="A10" s="28" t="s">
        <v>0</v>
      </c>
      <c r="B10" s="26" t="s">
        <v>71</v>
      </c>
      <c r="C10" s="26" t="s">
        <v>71</v>
      </c>
      <c r="D10" s="27" t="s">
        <v>72</v>
      </c>
      <c r="E10" s="26" t="s">
        <v>71</v>
      </c>
      <c r="F10" s="27" t="s">
        <v>72</v>
      </c>
      <c r="G10" s="27" t="s">
        <v>72</v>
      </c>
      <c r="H10" s="17" t="s">
        <v>71</v>
      </c>
      <c r="I10" s="20" t="s">
        <v>72</v>
      </c>
      <c r="J10" s="20" t="s">
        <v>72</v>
      </c>
      <c r="K10" s="17" t="s">
        <v>71</v>
      </c>
      <c r="L10" s="17" t="s">
        <v>71</v>
      </c>
      <c r="M10" s="17" t="s">
        <v>71</v>
      </c>
      <c r="N10" s="20" t="s">
        <v>72</v>
      </c>
      <c r="O10" s="20" t="s">
        <v>72</v>
      </c>
      <c r="P10" s="20" t="s">
        <v>72</v>
      </c>
    </row>
    <row r="11" spans="1:16">
      <c r="A11" s="28" t="s">
        <v>3</v>
      </c>
      <c r="B11" s="27" t="s">
        <v>72</v>
      </c>
      <c r="C11" s="27" t="s">
        <v>72</v>
      </c>
      <c r="D11" s="27" t="s">
        <v>72</v>
      </c>
      <c r="E11" s="26" t="s">
        <v>71</v>
      </c>
      <c r="F11" s="27" t="s">
        <v>72</v>
      </c>
      <c r="G11" s="20" t="s">
        <v>72</v>
      </c>
      <c r="H11" s="20" t="s">
        <v>72</v>
      </c>
      <c r="I11" s="20" t="s">
        <v>72</v>
      </c>
      <c r="J11" s="20" t="s">
        <v>72</v>
      </c>
      <c r="K11" s="20" t="s">
        <v>72</v>
      </c>
      <c r="L11" s="20" t="s">
        <v>72</v>
      </c>
      <c r="M11" s="17" t="s">
        <v>71</v>
      </c>
      <c r="N11" s="20" t="s">
        <v>72</v>
      </c>
      <c r="O11" s="20" t="s">
        <v>72</v>
      </c>
      <c r="P11" s="20" t="s">
        <v>72</v>
      </c>
    </row>
    <row r="12" spans="1:16">
      <c r="A12" s="21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</row>
    <row r="13" spans="1:16">
      <c r="A13" s="21"/>
      <c r="B13" s="231" t="s">
        <v>202</v>
      </c>
      <c r="C13" s="232"/>
      <c r="D13" s="232"/>
      <c r="E13" s="232"/>
      <c r="F13" s="232"/>
      <c r="G13" s="230" t="s">
        <v>221</v>
      </c>
      <c r="H13" s="230"/>
      <c r="I13" s="230"/>
      <c r="J13" s="230"/>
      <c r="K13" s="230"/>
      <c r="L13" s="230"/>
      <c r="M13" s="230"/>
      <c r="N13" s="230"/>
      <c r="O13" s="22"/>
      <c r="P13" s="22"/>
    </row>
    <row r="14" spans="1:16" s="12" customFormat="1" ht="45">
      <c r="A14" s="10" t="s">
        <v>209</v>
      </c>
      <c r="B14" s="14" t="s">
        <v>240</v>
      </c>
      <c r="C14" s="13" t="s">
        <v>197</v>
      </c>
      <c r="D14" s="15" t="s">
        <v>214</v>
      </c>
      <c r="E14" s="15" t="s">
        <v>213</v>
      </c>
      <c r="F14" s="13" t="s">
        <v>199</v>
      </c>
      <c r="G14" s="16" t="s">
        <v>226</v>
      </c>
      <c r="H14" s="13" t="s">
        <v>198</v>
      </c>
      <c r="I14" s="14" t="s">
        <v>216</v>
      </c>
      <c r="J14" s="14" t="s">
        <v>218</v>
      </c>
      <c r="K14" s="14" t="s">
        <v>215</v>
      </c>
      <c r="L14" s="14" t="s">
        <v>217</v>
      </c>
      <c r="M14" s="13" t="s">
        <v>219</v>
      </c>
      <c r="N14" s="13" t="s">
        <v>220</v>
      </c>
    </row>
    <row r="15" spans="1:16" ht="60">
      <c r="A15" s="19" t="s">
        <v>63</v>
      </c>
      <c r="B15" s="17" t="s">
        <v>71</v>
      </c>
      <c r="C15" s="17" t="s">
        <v>71</v>
      </c>
      <c r="D15" s="17" t="s">
        <v>71</v>
      </c>
      <c r="E15" s="17" t="s">
        <v>71</v>
      </c>
      <c r="F15" s="17" t="s">
        <v>71</v>
      </c>
      <c r="G15" s="24" t="s">
        <v>227</v>
      </c>
      <c r="H15" s="24" t="s">
        <v>231</v>
      </c>
      <c r="I15" s="17" t="s">
        <v>71</v>
      </c>
      <c r="J15" s="17" t="s">
        <v>71</v>
      </c>
      <c r="K15" s="17" t="s">
        <v>71</v>
      </c>
      <c r="L15" s="17" t="s">
        <v>71</v>
      </c>
      <c r="M15" s="17" t="s">
        <v>71</v>
      </c>
      <c r="N15" s="17" t="s">
        <v>71</v>
      </c>
      <c r="O15" s="22"/>
      <c r="P15" s="22"/>
    </row>
    <row r="16" spans="1:16">
      <c r="A16" s="23" t="s">
        <v>65</v>
      </c>
      <c r="B16" s="17" t="s">
        <v>71</v>
      </c>
      <c r="C16" s="17" t="s">
        <v>71</v>
      </c>
      <c r="D16" s="20" t="s">
        <v>72</v>
      </c>
      <c r="E16" s="20" t="s">
        <v>72</v>
      </c>
      <c r="F16" s="20" t="s">
        <v>72</v>
      </c>
      <c r="G16" s="24" t="s">
        <v>232</v>
      </c>
      <c r="H16" s="20" t="s">
        <v>72</v>
      </c>
      <c r="I16" s="20" t="s">
        <v>72</v>
      </c>
      <c r="J16" s="20" t="s">
        <v>72</v>
      </c>
      <c r="K16" s="20" t="s">
        <v>72</v>
      </c>
      <c r="L16" s="20" t="s">
        <v>72</v>
      </c>
      <c r="M16" s="20" t="s">
        <v>72</v>
      </c>
      <c r="N16" s="20" t="s">
        <v>72</v>
      </c>
      <c r="O16" s="22"/>
      <c r="P16" s="22"/>
    </row>
    <row r="17" spans="1:16">
      <c r="A17" s="19" t="s">
        <v>66</v>
      </c>
      <c r="B17" s="17" t="s">
        <v>71</v>
      </c>
      <c r="C17" s="17" t="s">
        <v>71</v>
      </c>
      <c r="D17" s="20" t="s">
        <v>72</v>
      </c>
      <c r="E17" s="20" t="s">
        <v>72</v>
      </c>
      <c r="F17" s="20" t="s">
        <v>72</v>
      </c>
      <c r="G17" s="17" t="s">
        <v>228</v>
      </c>
      <c r="H17" s="20" t="s">
        <v>72</v>
      </c>
      <c r="I17" s="20" t="s">
        <v>72</v>
      </c>
      <c r="J17" s="20" t="s">
        <v>72</v>
      </c>
      <c r="K17" s="20" t="s">
        <v>72</v>
      </c>
      <c r="L17" s="20" t="s">
        <v>72</v>
      </c>
      <c r="M17" s="20" t="s">
        <v>72</v>
      </c>
      <c r="N17" s="20" t="s">
        <v>72</v>
      </c>
      <c r="O17" s="22"/>
      <c r="P17" s="22"/>
    </row>
    <row r="18" spans="1:16">
      <c r="A18" s="23" t="s">
        <v>1</v>
      </c>
      <c r="B18" s="17" t="s">
        <v>71</v>
      </c>
      <c r="C18" s="17" t="s">
        <v>71</v>
      </c>
      <c r="D18" s="17" t="s">
        <v>71</v>
      </c>
      <c r="E18" s="17" t="s">
        <v>71</v>
      </c>
      <c r="F18" s="20" t="s">
        <v>72</v>
      </c>
      <c r="G18" s="17" t="s">
        <v>228</v>
      </c>
      <c r="H18" s="17" t="s">
        <v>71</v>
      </c>
      <c r="I18" s="17" t="s">
        <v>71</v>
      </c>
      <c r="J18" s="17" t="s">
        <v>71</v>
      </c>
      <c r="K18" s="17" t="s">
        <v>71</v>
      </c>
      <c r="L18" s="17" t="s">
        <v>71</v>
      </c>
      <c r="M18" s="20" t="s">
        <v>72</v>
      </c>
      <c r="N18" s="20" t="s">
        <v>72</v>
      </c>
      <c r="O18" s="22"/>
      <c r="P18" s="22"/>
    </row>
    <row r="19" spans="1:16">
      <c r="A19" s="23" t="s">
        <v>2</v>
      </c>
      <c r="B19" s="17" t="s">
        <v>71</v>
      </c>
      <c r="C19" s="17" t="s">
        <v>71</v>
      </c>
      <c r="D19" s="17" t="s">
        <v>71</v>
      </c>
      <c r="E19" s="17" t="s">
        <v>71</v>
      </c>
      <c r="F19" s="20" t="s">
        <v>72</v>
      </c>
      <c r="G19" s="17" t="s">
        <v>228</v>
      </c>
      <c r="H19" s="20" t="s">
        <v>72</v>
      </c>
      <c r="I19" s="17" t="s">
        <v>71</v>
      </c>
      <c r="J19" s="17" t="s">
        <v>71</v>
      </c>
      <c r="K19" s="17" t="s">
        <v>71</v>
      </c>
      <c r="L19" s="17" t="s">
        <v>71</v>
      </c>
      <c r="M19" s="17" t="s">
        <v>71</v>
      </c>
      <c r="N19" s="20" t="s">
        <v>72</v>
      </c>
      <c r="O19" s="22"/>
      <c r="P19" s="22"/>
    </row>
    <row r="20" spans="1:16">
      <c r="A20" s="23" t="s">
        <v>64</v>
      </c>
      <c r="B20" s="17" t="s">
        <v>71</v>
      </c>
      <c r="C20" s="17" t="s">
        <v>71</v>
      </c>
      <c r="D20" s="17" t="s">
        <v>71</v>
      </c>
      <c r="E20" s="17" t="s">
        <v>71</v>
      </c>
      <c r="F20" s="20" t="s">
        <v>72</v>
      </c>
      <c r="G20" s="17" t="s">
        <v>228</v>
      </c>
      <c r="H20" s="17" t="s">
        <v>71</v>
      </c>
      <c r="I20" s="17" t="s">
        <v>71</v>
      </c>
      <c r="J20" s="17" t="s">
        <v>71</v>
      </c>
      <c r="K20" s="17" t="s">
        <v>71</v>
      </c>
      <c r="L20" s="17" t="s">
        <v>71</v>
      </c>
      <c r="M20" s="20" t="s">
        <v>72</v>
      </c>
      <c r="N20" s="20" t="s">
        <v>72</v>
      </c>
      <c r="O20" s="22"/>
      <c r="P20" s="22"/>
    </row>
    <row r="21" spans="1:16">
      <c r="A21" s="62" t="s">
        <v>0</v>
      </c>
      <c r="B21" s="63" t="s">
        <v>71</v>
      </c>
      <c r="C21" s="63" t="s">
        <v>71</v>
      </c>
      <c r="D21" s="63" t="s">
        <v>71</v>
      </c>
      <c r="E21" s="63" t="s">
        <v>71</v>
      </c>
      <c r="F21" s="63" t="s">
        <v>71</v>
      </c>
      <c r="G21" s="63" t="s">
        <v>228</v>
      </c>
      <c r="H21" s="63" t="s">
        <v>71</v>
      </c>
      <c r="I21" s="63" t="s">
        <v>71</v>
      </c>
      <c r="J21" s="63" t="s">
        <v>71</v>
      </c>
      <c r="K21" s="63" t="s">
        <v>71</v>
      </c>
      <c r="L21" s="63" t="s">
        <v>71</v>
      </c>
      <c r="M21" s="63" t="s">
        <v>71</v>
      </c>
      <c r="N21" s="63" t="s">
        <v>71</v>
      </c>
      <c r="O21" s="22"/>
      <c r="P21" s="22"/>
    </row>
    <row r="22" spans="1:16">
      <c r="A22" s="23" t="s">
        <v>3</v>
      </c>
      <c r="B22" s="17" t="s">
        <v>71</v>
      </c>
      <c r="C22" s="17" t="s">
        <v>71</v>
      </c>
      <c r="D22" s="17" t="s">
        <v>71</v>
      </c>
      <c r="E22" s="17" t="s">
        <v>71</v>
      </c>
      <c r="F22" s="20" t="s">
        <v>72</v>
      </c>
      <c r="G22" s="17" t="s">
        <v>228</v>
      </c>
      <c r="H22" s="17" t="s">
        <v>71</v>
      </c>
      <c r="I22" s="17" t="s">
        <v>71</v>
      </c>
      <c r="J22" s="17" t="s">
        <v>71</v>
      </c>
      <c r="K22" s="17" t="s">
        <v>71</v>
      </c>
      <c r="L22" s="17" t="s">
        <v>71</v>
      </c>
      <c r="M22" s="20" t="s">
        <v>72</v>
      </c>
      <c r="N22" s="20" t="s">
        <v>72</v>
      </c>
      <c r="O22" s="22"/>
      <c r="P22" s="22"/>
    </row>
  </sheetData>
  <mergeCells count="3">
    <mergeCell ref="A2:P2"/>
    <mergeCell ref="B13:F13"/>
    <mergeCell ref="G13:N1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00B0F0"/>
  </sheetPr>
  <dimension ref="A2:T21"/>
  <sheetViews>
    <sheetView workbookViewId="0">
      <selection activeCell="N5" sqref="N5"/>
    </sheetView>
  </sheetViews>
  <sheetFormatPr defaultColWidth="8.7109375" defaultRowHeight="12"/>
  <cols>
    <col min="1" max="1" width="37" style="1" customWidth="1"/>
    <col min="2" max="2" width="6" style="5" customWidth="1"/>
    <col min="3" max="3" width="7" style="1" bestFit="1" customWidth="1"/>
    <col min="4" max="4" width="6.140625" style="1" bestFit="1" customWidth="1"/>
    <col min="5" max="10" width="7" style="1" bestFit="1" customWidth="1"/>
    <col min="11" max="14" width="7.42578125" style="1" bestFit="1" customWidth="1"/>
    <col min="15" max="15" width="7.85546875" style="1" bestFit="1" customWidth="1"/>
    <col min="16" max="18" width="7" style="1" bestFit="1" customWidth="1"/>
    <col min="19" max="19" width="7.42578125" style="1" bestFit="1" customWidth="1"/>
    <col min="20" max="16384" width="8.7109375" style="1"/>
  </cols>
  <sheetData>
    <row r="2" spans="1:20" s="2" customFormat="1">
      <c r="A2" s="8" t="s">
        <v>308</v>
      </c>
      <c r="B2" s="8" t="s">
        <v>73</v>
      </c>
      <c r="C2" s="8" t="s">
        <v>74</v>
      </c>
      <c r="D2" s="8" t="s">
        <v>75</v>
      </c>
      <c r="E2" s="8" t="s">
        <v>76</v>
      </c>
      <c r="F2" s="8" t="s">
        <v>77</v>
      </c>
      <c r="G2" s="8" t="s">
        <v>78</v>
      </c>
      <c r="H2" s="8" t="s">
        <v>79</v>
      </c>
      <c r="I2" s="8" t="s">
        <v>80</v>
      </c>
      <c r="J2" s="8" t="s">
        <v>81</v>
      </c>
      <c r="K2" s="8" t="s">
        <v>82</v>
      </c>
      <c r="L2" s="8" t="s">
        <v>83</v>
      </c>
      <c r="M2" s="8" t="s">
        <v>84</v>
      </c>
      <c r="N2" s="8" t="s">
        <v>85</v>
      </c>
      <c r="O2" s="8" t="s">
        <v>86</v>
      </c>
      <c r="P2" s="8" t="s">
        <v>87</v>
      </c>
      <c r="Q2" s="8" t="s">
        <v>88</v>
      </c>
      <c r="R2" s="8" t="s">
        <v>89</v>
      </c>
      <c r="S2" s="8" t="s">
        <v>90</v>
      </c>
    </row>
    <row r="3" spans="1:20" s="22" customFormat="1">
      <c r="A3" s="18" t="s">
        <v>343</v>
      </c>
      <c r="B3" s="17" t="s">
        <v>91</v>
      </c>
      <c r="C3" s="218">
        <f>9609931/1000</f>
        <v>9609.9310000000005</v>
      </c>
      <c r="D3" s="219">
        <f>6310080.93333333/1000</f>
        <v>6310.08093333333</v>
      </c>
      <c r="E3" s="219">
        <f>17732973.4666667/1000</f>
        <v>17732.973466666699</v>
      </c>
      <c r="F3" s="219">
        <f>15795455.3666667/1000</f>
        <v>15795.455366666702</v>
      </c>
      <c r="G3" s="219">
        <f>16091799.7666667/1000</f>
        <v>16091.7997666667</v>
      </c>
      <c r="H3" s="219">
        <f>16408015.8333333/1000</f>
        <v>16408.015833333302</v>
      </c>
      <c r="I3" s="219">
        <f>18454323.8047619/1000</f>
        <v>18454.323804761902</v>
      </c>
      <c r="J3" s="219">
        <f>16179630.247619/1000</f>
        <v>16179.630247618999</v>
      </c>
      <c r="K3" s="219">
        <f>12136760.3666667/1000</f>
        <v>12136.7603666667</v>
      </c>
      <c r="L3" s="219">
        <f>12464841.21625/1000</f>
        <v>12464.841216250001</v>
      </c>
      <c r="M3" s="219">
        <f>12324145.55/1000</f>
        <v>12324.145550000001</v>
      </c>
      <c r="N3" s="219">
        <f>15580268.8233333/1000</f>
        <v>15580.268823333301</v>
      </c>
      <c r="O3" s="112">
        <f>SUM(C3:N3)</f>
        <v>169088.22637529761</v>
      </c>
      <c r="P3" s="112">
        <f>SUM(C3:E3)</f>
        <v>33652.985400000034</v>
      </c>
      <c r="Q3" s="112">
        <f>SUM(F3:H3)</f>
        <v>48295.270966666707</v>
      </c>
      <c r="R3" s="112">
        <f>SUM(I3:K3)</f>
        <v>46770.714419047596</v>
      </c>
      <c r="S3" s="112">
        <f>SUM(L3:N3)</f>
        <v>40369.255589583307</v>
      </c>
      <c r="T3" s="223"/>
    </row>
    <row r="4" spans="1:20" s="22" customFormat="1" ht="15" customHeight="1">
      <c r="A4" s="18" t="s">
        <v>344</v>
      </c>
      <c r="B4" s="17" t="s">
        <v>91</v>
      </c>
      <c r="C4" s="218">
        <v>0</v>
      </c>
      <c r="D4" s="218">
        <v>0</v>
      </c>
      <c r="E4" s="218">
        <v>0</v>
      </c>
      <c r="F4" s="218">
        <v>0</v>
      </c>
      <c r="G4" s="218">
        <v>0</v>
      </c>
      <c r="H4" s="218"/>
      <c r="I4" s="218"/>
      <c r="J4" s="218"/>
      <c r="K4" s="218"/>
      <c r="L4" s="218"/>
      <c r="M4" s="219"/>
      <c r="N4" s="219">
        <f>423667.4/1000</f>
        <v>423.66740000000004</v>
      </c>
      <c r="O4" s="112">
        <f>SUM(C4:N4)</f>
        <v>423.66740000000004</v>
      </c>
      <c r="P4" s="112">
        <f>SUM(C4:E4)</f>
        <v>0</v>
      </c>
      <c r="Q4" s="112">
        <f>SUM(F4:H4)</f>
        <v>0</v>
      </c>
      <c r="R4" s="112">
        <f>SUM(I4:K4)</f>
        <v>0</v>
      </c>
      <c r="S4" s="112">
        <f>SUM(L4:N4)</f>
        <v>423.66740000000004</v>
      </c>
    </row>
    <row r="5" spans="1:20" s="22" customFormat="1">
      <c r="A5" s="111" t="s">
        <v>309</v>
      </c>
      <c r="B5" s="17" t="s">
        <v>91</v>
      </c>
      <c r="C5" s="113">
        <f>SUM(C3:C4)</f>
        <v>9609.9310000000005</v>
      </c>
      <c r="D5" s="113">
        <f t="shared" ref="D5:S5" si="0">SUM(D3:D4)</f>
        <v>6310.08093333333</v>
      </c>
      <c r="E5" s="113">
        <f t="shared" si="0"/>
        <v>17732.973466666699</v>
      </c>
      <c r="F5" s="113">
        <f t="shared" si="0"/>
        <v>15795.455366666702</v>
      </c>
      <c r="G5" s="113">
        <f t="shared" si="0"/>
        <v>16091.7997666667</v>
      </c>
      <c r="H5" s="113">
        <f t="shared" si="0"/>
        <v>16408.015833333302</v>
      </c>
      <c r="I5" s="113">
        <f t="shared" si="0"/>
        <v>18454.323804761902</v>
      </c>
      <c r="J5" s="113">
        <f t="shared" si="0"/>
        <v>16179.630247618999</v>
      </c>
      <c r="K5" s="113">
        <f t="shared" si="0"/>
        <v>12136.7603666667</v>
      </c>
      <c r="L5" s="113">
        <f t="shared" si="0"/>
        <v>12464.841216250001</v>
      </c>
      <c r="M5" s="113">
        <f t="shared" si="0"/>
        <v>12324.145550000001</v>
      </c>
      <c r="N5" s="113">
        <f t="shared" si="0"/>
        <v>16003.936223333301</v>
      </c>
      <c r="O5" s="113">
        <f>SUM(O3:O4)</f>
        <v>169511.89377529762</v>
      </c>
      <c r="P5" s="113">
        <f t="shared" si="0"/>
        <v>33652.985400000034</v>
      </c>
      <c r="Q5" s="113">
        <f t="shared" si="0"/>
        <v>48295.270966666707</v>
      </c>
      <c r="R5" s="113">
        <f t="shared" si="0"/>
        <v>46770.714419047596</v>
      </c>
      <c r="S5" s="113">
        <f t="shared" si="0"/>
        <v>40792.922989583305</v>
      </c>
    </row>
    <row r="6" spans="1:20" s="22" customFormat="1">
      <c r="B6" s="61"/>
      <c r="C6" s="115"/>
      <c r="D6" s="115"/>
      <c r="E6" s="116"/>
      <c r="F6" s="116"/>
      <c r="G6" s="116"/>
      <c r="H6" s="116"/>
      <c r="I6" s="116"/>
      <c r="J6" s="116"/>
      <c r="K6" s="116"/>
      <c r="L6" s="116"/>
      <c r="M6" s="116"/>
      <c r="N6" s="116"/>
      <c r="O6" s="116"/>
      <c r="P6" s="116"/>
      <c r="Q6" s="116"/>
      <c r="R6" s="116"/>
      <c r="S6" s="116"/>
    </row>
    <row r="7" spans="1:20" s="59" customFormat="1">
      <c r="A7" s="65" t="s">
        <v>69</v>
      </c>
      <c r="B7" s="65" t="s">
        <v>73</v>
      </c>
      <c r="C7" s="117" t="s">
        <v>74</v>
      </c>
      <c r="D7" s="117" t="s">
        <v>75</v>
      </c>
      <c r="E7" s="117" t="s">
        <v>76</v>
      </c>
      <c r="F7" s="117" t="s">
        <v>77</v>
      </c>
      <c r="G7" s="117" t="s">
        <v>78</v>
      </c>
      <c r="H7" s="117" t="s">
        <v>79</v>
      </c>
      <c r="I7" s="117" t="s">
        <v>80</v>
      </c>
      <c r="J7" s="117" t="s">
        <v>81</v>
      </c>
      <c r="K7" s="117" t="s">
        <v>82</v>
      </c>
      <c r="L7" s="117" t="s">
        <v>83</v>
      </c>
      <c r="M7" s="117" t="s">
        <v>84</v>
      </c>
      <c r="N7" s="117" t="s">
        <v>85</v>
      </c>
      <c r="O7" s="117" t="s">
        <v>86</v>
      </c>
      <c r="P7" s="117" t="s">
        <v>87</v>
      </c>
      <c r="Q7" s="117" t="s">
        <v>88</v>
      </c>
      <c r="R7" s="117" t="s">
        <v>89</v>
      </c>
      <c r="S7" s="117" t="s">
        <v>90</v>
      </c>
    </row>
    <row r="8" spans="1:20" s="22" customFormat="1" ht="15" customHeight="1">
      <c r="A8" s="83" t="s">
        <v>274</v>
      </c>
      <c r="B8" s="17" t="s">
        <v>91</v>
      </c>
      <c r="C8" s="220">
        <f>1185210/1000</f>
        <v>1185.21</v>
      </c>
      <c r="D8" s="221">
        <f>903630/1000</f>
        <v>903.63</v>
      </c>
      <c r="E8" s="221">
        <f>2451735/1000</f>
        <v>2451.7350000000001</v>
      </c>
      <c r="F8" s="221">
        <f>2133495/1000</f>
        <v>2133.4949999999999</v>
      </c>
      <c r="G8" s="221">
        <f>2066220/1000</f>
        <v>2066.2199999999998</v>
      </c>
      <c r="H8" s="221">
        <f>2160795/1000</f>
        <v>2160.7950000000001</v>
      </c>
      <c r="I8" s="221">
        <f>2501265/1000</f>
        <v>2501.2649999999999</v>
      </c>
      <c r="J8" s="221">
        <f>2094690/1000</f>
        <v>2094.69</v>
      </c>
      <c r="K8" s="219">
        <f>1523340/1000</f>
        <v>1523.34</v>
      </c>
      <c r="L8" s="221">
        <f>1624155/1000</f>
        <v>1624.155</v>
      </c>
      <c r="M8" s="221">
        <f>1624350/1000</f>
        <v>1624.35</v>
      </c>
      <c r="N8" s="114">
        <f>1872750/1000</f>
        <v>1872.75</v>
      </c>
      <c r="O8" s="112">
        <f>SUM(C8:N8)</f>
        <v>22141.634999999998</v>
      </c>
      <c r="P8" s="112">
        <f>SUM(C8:E8)</f>
        <v>4540.5750000000007</v>
      </c>
      <c r="Q8" s="112">
        <f t="shared" ref="Q8:Q19" si="1">SUM(F8:H8)</f>
        <v>6360.51</v>
      </c>
      <c r="R8" s="112">
        <f t="shared" ref="R8:R19" si="2">SUM(I8:K8)</f>
        <v>6119.2950000000001</v>
      </c>
      <c r="S8" s="112">
        <f t="shared" ref="S8:S19" si="3">SUM(L8:N8)</f>
        <v>5121.2550000000001</v>
      </c>
    </row>
    <row r="9" spans="1:20" s="22" customFormat="1" ht="15" customHeight="1">
      <c r="A9" s="83" t="s">
        <v>241</v>
      </c>
      <c r="B9" s="17" t="s">
        <v>91</v>
      </c>
      <c r="C9" s="220">
        <f>6280950/1000</f>
        <v>6280.95</v>
      </c>
      <c r="D9" s="221">
        <f>4812600/1000</f>
        <v>4812.6000000000004</v>
      </c>
      <c r="E9" s="221">
        <f>13112580/1000</f>
        <v>13112.58</v>
      </c>
      <c r="F9" s="221">
        <f>11433240/1000</f>
        <v>11433.24</v>
      </c>
      <c r="G9" s="221">
        <f>11029452/1000</f>
        <v>11029.451999999999</v>
      </c>
      <c r="H9" s="221">
        <f>11323650/1000</f>
        <v>11323.65</v>
      </c>
      <c r="I9" s="221">
        <f>13526175/1000</f>
        <v>13526.174999999999</v>
      </c>
      <c r="J9" s="221">
        <f>12506465/1000</f>
        <v>12506.465</v>
      </c>
      <c r="K9" s="219">
        <f>8783970/1000</f>
        <v>8783.9699999999993</v>
      </c>
      <c r="L9" s="221">
        <f>9729720/1000</f>
        <v>9729.7199999999993</v>
      </c>
      <c r="M9" s="221">
        <f>9687405/1000</f>
        <v>9687.4050000000007</v>
      </c>
      <c r="N9" s="114">
        <f>11518615/1000</f>
        <v>11518.615</v>
      </c>
      <c r="O9" s="112">
        <f t="shared" ref="O9:O19" si="4">SUM(C9:N9)</f>
        <v>123744.822</v>
      </c>
      <c r="P9" s="112">
        <f t="shared" ref="P9:P19" si="5">SUM(C9:E9)</f>
        <v>24206.129999999997</v>
      </c>
      <c r="Q9" s="112">
        <f t="shared" si="1"/>
        <v>33786.341999999997</v>
      </c>
      <c r="R9" s="112">
        <f t="shared" si="2"/>
        <v>34816.61</v>
      </c>
      <c r="S9" s="112">
        <f t="shared" si="3"/>
        <v>30935.739999999998</v>
      </c>
    </row>
    <row r="10" spans="1:20" s="22" customFormat="1" ht="15" hidden="1" customHeight="1">
      <c r="A10" s="83" t="s">
        <v>242</v>
      </c>
      <c r="B10" s="17" t="s">
        <v>91</v>
      </c>
      <c r="C10" s="220"/>
      <c r="D10" s="221"/>
      <c r="E10" s="221"/>
      <c r="F10" s="221"/>
      <c r="G10" s="221"/>
      <c r="H10" s="221"/>
      <c r="I10" s="221"/>
      <c r="J10" s="221"/>
      <c r="K10" s="219"/>
      <c r="L10" s="221"/>
      <c r="M10" s="221"/>
      <c r="N10" s="114"/>
      <c r="O10" s="112">
        <f t="shared" si="4"/>
        <v>0</v>
      </c>
      <c r="P10" s="112">
        <f t="shared" si="5"/>
        <v>0</v>
      </c>
      <c r="Q10" s="112">
        <f t="shared" si="1"/>
        <v>0</v>
      </c>
      <c r="R10" s="112">
        <f t="shared" si="2"/>
        <v>0</v>
      </c>
      <c r="S10" s="112">
        <f t="shared" si="3"/>
        <v>0</v>
      </c>
    </row>
    <row r="11" spans="1:20" s="22" customFormat="1" ht="15" hidden="1" customHeight="1">
      <c r="A11" s="83" t="s">
        <v>243</v>
      </c>
      <c r="B11" s="17" t="s">
        <v>91</v>
      </c>
      <c r="C11" s="220"/>
      <c r="D11" s="221"/>
      <c r="E11" s="221"/>
      <c r="F11" s="221"/>
      <c r="G11" s="221"/>
      <c r="H11" s="221"/>
      <c r="I11" s="221"/>
      <c r="J11" s="221"/>
      <c r="K11" s="219"/>
      <c r="L11" s="221"/>
      <c r="M11" s="221"/>
      <c r="N11" s="114"/>
      <c r="O11" s="112">
        <f t="shared" si="4"/>
        <v>0</v>
      </c>
      <c r="P11" s="112">
        <f t="shared" si="5"/>
        <v>0</v>
      </c>
      <c r="Q11" s="112">
        <f t="shared" si="1"/>
        <v>0</v>
      </c>
      <c r="R11" s="112">
        <f t="shared" si="2"/>
        <v>0</v>
      </c>
      <c r="S11" s="112">
        <f t="shared" si="3"/>
        <v>0</v>
      </c>
    </row>
    <row r="12" spans="1:20" s="22" customFormat="1" ht="15" hidden="1" customHeight="1">
      <c r="A12" s="83" t="s">
        <v>244</v>
      </c>
      <c r="B12" s="17" t="s">
        <v>91</v>
      </c>
      <c r="C12" s="220"/>
      <c r="D12" s="221"/>
      <c r="E12" s="221"/>
      <c r="F12" s="221"/>
      <c r="G12" s="221"/>
      <c r="H12" s="221"/>
      <c r="I12" s="221"/>
      <c r="J12" s="221"/>
      <c r="K12" s="219"/>
      <c r="L12" s="221"/>
      <c r="M12" s="221"/>
      <c r="N12" s="114"/>
      <c r="O12" s="112">
        <f t="shared" si="4"/>
        <v>0</v>
      </c>
      <c r="P12" s="112">
        <f t="shared" si="5"/>
        <v>0</v>
      </c>
      <c r="Q12" s="112">
        <f t="shared" si="1"/>
        <v>0</v>
      </c>
      <c r="R12" s="112">
        <f t="shared" si="2"/>
        <v>0</v>
      </c>
      <c r="S12" s="112">
        <f t="shared" si="3"/>
        <v>0</v>
      </c>
    </row>
    <row r="13" spans="1:20" s="22" customFormat="1" ht="15" hidden="1" customHeight="1">
      <c r="A13" s="83" t="s">
        <v>245</v>
      </c>
      <c r="B13" s="17" t="s">
        <v>91</v>
      </c>
      <c r="C13" s="220"/>
      <c r="D13" s="221"/>
      <c r="E13" s="221"/>
      <c r="F13" s="221"/>
      <c r="G13" s="221"/>
      <c r="H13" s="221"/>
      <c r="I13" s="221"/>
      <c r="J13" s="221"/>
      <c r="K13" s="219"/>
      <c r="L13" s="221"/>
      <c r="M13" s="221"/>
      <c r="N13" s="114"/>
      <c r="O13" s="112">
        <f t="shared" si="4"/>
        <v>0</v>
      </c>
      <c r="P13" s="112">
        <f t="shared" si="5"/>
        <v>0</v>
      </c>
      <c r="Q13" s="112">
        <f t="shared" si="1"/>
        <v>0</v>
      </c>
      <c r="R13" s="112">
        <f t="shared" si="2"/>
        <v>0</v>
      </c>
      <c r="S13" s="112">
        <f t="shared" si="3"/>
        <v>0</v>
      </c>
    </row>
    <row r="14" spans="1:20" s="22" customFormat="1" ht="15" customHeight="1">
      <c r="A14" s="83" t="s">
        <v>131</v>
      </c>
      <c r="B14" s="17" t="s">
        <v>91</v>
      </c>
      <c r="C14" s="220">
        <f>696150/1000</f>
        <v>696.15</v>
      </c>
      <c r="D14" s="221">
        <f>772200/1000</f>
        <v>772.2</v>
      </c>
      <c r="E14" s="221">
        <f>1762800/1000</f>
        <v>1762.8</v>
      </c>
      <c r="F14" s="221">
        <f>1414140/1000</f>
        <v>1414.14</v>
      </c>
      <c r="G14" s="221">
        <f>1600308/1000</f>
        <v>1600.308</v>
      </c>
      <c r="H14" s="221">
        <f>1814670/1000</f>
        <v>1814.67</v>
      </c>
      <c r="I14" s="221">
        <f>2458170/1000</f>
        <v>2458.17</v>
      </c>
      <c r="J14" s="221">
        <f>963300/1000</f>
        <v>963.3</v>
      </c>
      <c r="K14" s="219">
        <f>958620/1000</f>
        <v>958.62</v>
      </c>
      <c r="L14" s="221">
        <f>877500/1000</f>
        <v>877.5</v>
      </c>
      <c r="M14" s="221">
        <f>627900/1000</f>
        <v>627.9</v>
      </c>
      <c r="N14" s="114">
        <f>1141700/1000</f>
        <v>1141.7</v>
      </c>
      <c r="O14" s="112">
        <f t="shared" si="4"/>
        <v>15087.458000000001</v>
      </c>
      <c r="P14" s="112">
        <f t="shared" si="5"/>
        <v>3231.1499999999996</v>
      </c>
      <c r="Q14" s="112">
        <f t="shared" si="1"/>
        <v>4829.1180000000004</v>
      </c>
      <c r="R14" s="112">
        <f t="shared" si="2"/>
        <v>4380.09</v>
      </c>
      <c r="S14" s="112">
        <f t="shared" si="3"/>
        <v>2647.1000000000004</v>
      </c>
    </row>
    <row r="15" spans="1:20" s="22" customFormat="1" ht="15" hidden="1" customHeight="1">
      <c r="A15" s="83" t="s">
        <v>246</v>
      </c>
      <c r="B15" s="17" t="s">
        <v>91</v>
      </c>
      <c r="C15" s="220"/>
      <c r="D15" s="221"/>
      <c r="E15" s="221"/>
      <c r="F15" s="221"/>
      <c r="G15" s="221"/>
      <c r="H15" s="221"/>
      <c r="I15" s="221"/>
      <c r="J15" s="221"/>
      <c r="K15" s="221"/>
      <c r="L15" s="221"/>
      <c r="M15" s="221"/>
      <c r="N15" s="114"/>
      <c r="O15" s="112">
        <f t="shared" si="4"/>
        <v>0</v>
      </c>
      <c r="P15" s="112">
        <f t="shared" si="5"/>
        <v>0</v>
      </c>
      <c r="Q15" s="112">
        <f t="shared" si="1"/>
        <v>0</v>
      </c>
      <c r="R15" s="112">
        <f t="shared" si="2"/>
        <v>0</v>
      </c>
      <c r="S15" s="112">
        <f t="shared" si="3"/>
        <v>0</v>
      </c>
    </row>
    <row r="16" spans="1:20" s="22" customFormat="1" ht="15" hidden="1" customHeight="1">
      <c r="A16" s="84" t="s">
        <v>229</v>
      </c>
      <c r="B16" s="17" t="s">
        <v>91</v>
      </c>
      <c r="C16" s="220"/>
      <c r="D16" s="221"/>
      <c r="E16" s="221"/>
      <c r="F16" s="221"/>
      <c r="G16" s="221"/>
      <c r="H16" s="221"/>
      <c r="I16" s="221"/>
      <c r="J16" s="221"/>
      <c r="K16" s="221"/>
      <c r="L16" s="221"/>
      <c r="M16" s="221"/>
      <c r="N16" s="114"/>
      <c r="O16" s="112">
        <f t="shared" si="4"/>
        <v>0</v>
      </c>
      <c r="P16" s="112">
        <f t="shared" si="5"/>
        <v>0</v>
      </c>
      <c r="Q16" s="112">
        <f t="shared" si="1"/>
        <v>0</v>
      </c>
      <c r="R16" s="112">
        <f t="shared" si="2"/>
        <v>0</v>
      </c>
      <c r="S16" s="112">
        <f t="shared" si="3"/>
        <v>0</v>
      </c>
    </row>
    <row r="17" spans="1:19" s="22" customFormat="1" ht="15" customHeight="1">
      <c r="A17" s="83" t="s">
        <v>345</v>
      </c>
      <c r="B17" s="17" t="s">
        <v>91</v>
      </c>
      <c r="C17" s="219">
        <f>611660/1000</f>
        <v>611.66</v>
      </c>
      <c r="D17" s="219">
        <f>593122/1000</f>
        <v>593.12199999999996</v>
      </c>
      <c r="E17" s="219">
        <f>1366899/1000</f>
        <v>1366.8989999999999</v>
      </c>
      <c r="F17" s="219">
        <f>1232648/1000</f>
        <v>1232.6479999999999</v>
      </c>
      <c r="G17" s="219">
        <f>1224313/1000</f>
        <v>1224.3130000000001</v>
      </c>
      <c r="H17" s="219">
        <f>1274894/1000</f>
        <v>1274.894</v>
      </c>
      <c r="I17" s="219">
        <f>1532653/1000</f>
        <v>1532.653</v>
      </c>
      <c r="J17" s="219">
        <f>1223418/1000</f>
        <v>1223.4179999999999</v>
      </c>
      <c r="K17" s="219">
        <f>908336/1000</f>
        <v>908.33600000000001</v>
      </c>
      <c r="L17" s="219">
        <f>1025460/1000</f>
        <v>1025.46</v>
      </c>
      <c r="M17" s="221">
        <f>906515/1000</f>
        <v>906.51499999999999</v>
      </c>
      <c r="N17" s="114">
        <f>1268747/1000</f>
        <v>1268.7470000000001</v>
      </c>
      <c r="O17" s="112">
        <f t="shared" si="4"/>
        <v>13168.664999999997</v>
      </c>
      <c r="P17" s="112">
        <f t="shared" si="5"/>
        <v>2571.6809999999996</v>
      </c>
      <c r="Q17" s="112">
        <f t="shared" si="1"/>
        <v>3731.8550000000005</v>
      </c>
      <c r="R17" s="112">
        <f t="shared" si="2"/>
        <v>3664.4070000000002</v>
      </c>
      <c r="S17" s="112">
        <f t="shared" si="3"/>
        <v>3200.7219999999998</v>
      </c>
    </row>
    <row r="18" spans="1:19" s="22" customFormat="1" ht="36">
      <c r="A18" s="84" t="s">
        <v>419</v>
      </c>
      <c r="B18" s="17" t="s">
        <v>91</v>
      </c>
      <c r="C18" s="220">
        <f>218010/1000+273.92+133.2</f>
        <v>625.13</v>
      </c>
      <c r="D18" s="221">
        <f>156780/1000+117.76+89.6</f>
        <v>364.14</v>
      </c>
      <c r="E18" s="221">
        <f>435240/1000+414.72+255.6</f>
        <v>1105.56</v>
      </c>
      <c r="F18" s="221">
        <f>382200/1000+394.2+275.3</f>
        <v>1051.7</v>
      </c>
      <c r="G18" s="221">
        <f>363480/1000+317.44+308.69</f>
        <v>989.61000000000013</v>
      </c>
      <c r="H18" s="221">
        <f>382590/1000+492.57+382.59</f>
        <v>1257.75</v>
      </c>
      <c r="I18" s="221">
        <f>430.7+597.87+399.75</f>
        <v>1428.32</v>
      </c>
      <c r="J18" s="221">
        <f>386880/1000+483.21+403.445</f>
        <v>1273.5349999999999</v>
      </c>
      <c r="K18" s="219">
        <f>283920/1000+348.66+284.895</f>
        <v>917.47500000000002</v>
      </c>
      <c r="L18" s="219">
        <f>675.09+205.92</f>
        <v>881.01</v>
      </c>
      <c r="M18" s="221">
        <f>305.76+368.55+242.97</f>
        <v>917.28</v>
      </c>
      <c r="N18" s="221">
        <f>340.66+454.83+112.32+114.17</f>
        <v>1021.9799999999999</v>
      </c>
      <c r="O18" s="112">
        <f>SUM(C18:N18)</f>
        <v>11833.49</v>
      </c>
      <c r="P18" s="112">
        <f t="shared" si="5"/>
        <v>2094.83</v>
      </c>
      <c r="Q18" s="112">
        <f t="shared" si="1"/>
        <v>3299.0600000000004</v>
      </c>
      <c r="R18" s="112">
        <f t="shared" si="2"/>
        <v>3619.3299999999995</v>
      </c>
      <c r="S18" s="112">
        <f t="shared" si="3"/>
        <v>2820.27</v>
      </c>
    </row>
    <row r="19" spans="1:19" s="22" customFormat="1" ht="15" customHeight="1">
      <c r="A19" s="83" t="s">
        <v>247</v>
      </c>
      <c r="B19" s="17" t="s">
        <v>91</v>
      </c>
      <c r="C19" s="81"/>
      <c r="D19" s="114"/>
      <c r="E19" s="114"/>
      <c r="F19" s="114"/>
      <c r="G19" s="114"/>
      <c r="H19" s="114"/>
      <c r="I19" s="114"/>
      <c r="J19" s="114"/>
      <c r="K19" s="114"/>
      <c r="L19" s="114"/>
      <c r="M19" s="114"/>
      <c r="N19" s="114"/>
      <c r="O19" s="112">
        <f t="shared" si="4"/>
        <v>0</v>
      </c>
      <c r="P19" s="112">
        <f t="shared" si="5"/>
        <v>0</v>
      </c>
      <c r="Q19" s="112">
        <f t="shared" si="1"/>
        <v>0</v>
      </c>
      <c r="R19" s="112">
        <f t="shared" si="2"/>
        <v>0</v>
      </c>
      <c r="S19" s="112">
        <f t="shared" si="3"/>
        <v>0</v>
      </c>
    </row>
    <row r="20" spans="1:19" s="22" customFormat="1" ht="15" customHeight="1">
      <c r="A20" s="58" t="s">
        <v>248</v>
      </c>
      <c r="B20" s="17" t="s">
        <v>91</v>
      </c>
      <c r="C20" s="118">
        <f>SUM(C8:C19)</f>
        <v>9399.0999999999985</v>
      </c>
      <c r="D20" s="118">
        <f t="shared" ref="D20:M20" si="6">SUM(D8:D19)</f>
        <v>7445.6920000000009</v>
      </c>
      <c r="E20" s="118">
        <f t="shared" si="6"/>
        <v>19799.574000000004</v>
      </c>
      <c r="F20" s="118">
        <f t="shared" si="6"/>
        <v>17265.222999999998</v>
      </c>
      <c r="G20" s="118">
        <f t="shared" si="6"/>
        <v>16909.902999999998</v>
      </c>
      <c r="H20" s="118">
        <f t="shared" si="6"/>
        <v>17831.758999999998</v>
      </c>
      <c r="I20" s="118">
        <f t="shared" si="6"/>
        <v>21446.582999999999</v>
      </c>
      <c r="J20" s="118">
        <f t="shared" si="6"/>
        <v>18061.407999999999</v>
      </c>
      <c r="K20" s="118">
        <f t="shared" si="6"/>
        <v>13091.741</v>
      </c>
      <c r="L20" s="118">
        <f t="shared" si="6"/>
        <v>14137.844999999999</v>
      </c>
      <c r="M20" s="118">
        <f t="shared" si="6"/>
        <v>13763.45</v>
      </c>
      <c r="N20" s="118">
        <f>SUM(N8:N19)</f>
        <v>16823.792000000001</v>
      </c>
      <c r="O20" s="118">
        <f t="shared" ref="O20" si="7">SUM(C20:N20)</f>
        <v>185976.07</v>
      </c>
      <c r="P20" s="118">
        <f>SUM(C20:E20)</f>
        <v>36644.366000000009</v>
      </c>
      <c r="Q20" s="118">
        <f t="shared" ref="Q20" si="8">SUM(F20:H20)</f>
        <v>52006.884999999995</v>
      </c>
      <c r="R20" s="118">
        <f t="shared" ref="R20" si="9">SUM(I20:K20)</f>
        <v>52599.731999999996</v>
      </c>
      <c r="S20" s="118">
        <f t="shared" ref="S20" si="10">SUM(L20:N20)</f>
        <v>44725.087</v>
      </c>
    </row>
    <row r="21" spans="1:19" s="12" customFormat="1" ht="15" customHeight="1">
      <c r="A21" s="66" t="s">
        <v>128</v>
      </c>
      <c r="B21" s="64" t="s">
        <v>127</v>
      </c>
      <c r="C21" s="67">
        <f>C18/C20</f>
        <v>6.650955942590249E-2</v>
      </c>
      <c r="D21" s="67">
        <f t="shared" ref="D21:N21" si="11">D18/D20</f>
        <v>4.8906132566321564E-2</v>
      </c>
      <c r="E21" s="67">
        <f t="shared" si="11"/>
        <v>5.5837564990034623E-2</v>
      </c>
      <c r="F21" s="67">
        <f t="shared" si="11"/>
        <v>6.0914359461212875E-2</v>
      </c>
      <c r="G21" s="67">
        <f t="shared" si="11"/>
        <v>5.8522511926886879E-2</v>
      </c>
      <c r="H21" s="67">
        <f t="shared" si="11"/>
        <v>7.0534264174386838E-2</v>
      </c>
      <c r="I21" s="67">
        <f t="shared" si="11"/>
        <v>6.6598954248329442E-2</v>
      </c>
      <c r="J21" s="67">
        <f t="shared" si="11"/>
        <v>7.0511390917031486E-2</v>
      </c>
      <c r="K21" s="67">
        <f t="shared" si="11"/>
        <v>7.0080442318557937E-2</v>
      </c>
      <c r="L21" s="67">
        <f t="shared" si="11"/>
        <v>6.2315720677373392E-2</v>
      </c>
      <c r="M21" s="67">
        <f t="shared" si="11"/>
        <v>6.6646080742836997E-2</v>
      </c>
      <c r="N21" s="67">
        <f t="shared" si="11"/>
        <v>6.0746114787914626E-2</v>
      </c>
      <c r="O21" s="67">
        <f t="shared" ref="O21" si="12">O18/O20</f>
        <v>6.3629100238541444E-2</v>
      </c>
      <c r="P21" s="67">
        <f t="shared" ref="P21" si="13">P18/P20</f>
        <v>5.7166495935555263E-2</v>
      </c>
      <c r="Q21" s="67">
        <f t="shared" ref="Q21" si="14">Q18/Q20</f>
        <v>6.3435062492206581E-2</v>
      </c>
      <c r="R21" s="67">
        <f t="shared" ref="R21" si="15">R18/R20</f>
        <v>6.8808905718378943E-2</v>
      </c>
      <c r="S21" s="67">
        <f t="shared" ref="S21" si="16">S18/S20</f>
        <v>6.3057898579381183E-2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00B0F0"/>
  </sheetPr>
  <dimension ref="A2:V133"/>
  <sheetViews>
    <sheetView tabSelected="1" topLeftCell="A2" zoomScale="90" zoomScaleNormal="90" workbookViewId="0">
      <pane xSplit="2" ySplit="1" topLeftCell="C92" activePane="bottomRight" state="frozen"/>
      <selection activeCell="D26" sqref="D26"/>
      <selection pane="topRight" activeCell="D26" sqref="D26"/>
      <selection pane="bottomLeft" activeCell="D26" sqref="D26"/>
      <selection pane="bottomRight" activeCell="F100" sqref="F100:F117"/>
    </sheetView>
  </sheetViews>
  <sheetFormatPr defaultColWidth="8.7109375" defaultRowHeight="12"/>
  <cols>
    <col min="1" max="1" width="41.7109375" style="132" customWidth="1"/>
    <col min="2" max="2" width="10.140625" style="132" bestFit="1" customWidth="1"/>
    <col min="3" max="3" width="11.140625" style="132" bestFit="1" customWidth="1"/>
    <col min="4" max="4" width="13" style="132" customWidth="1"/>
    <col min="5" max="14" width="11.140625" style="132" bestFit="1" customWidth="1"/>
    <col min="15" max="15" width="12.140625" style="132" bestFit="1" customWidth="1"/>
    <col min="16" max="19" width="11.140625" style="132" bestFit="1" customWidth="1"/>
    <col min="20" max="20" width="3" style="157" bestFit="1" customWidth="1"/>
    <col min="21" max="21" width="7" style="157" bestFit="1" customWidth="1"/>
    <col min="22" max="16384" width="8.7109375" style="132"/>
  </cols>
  <sheetData>
    <row r="2" spans="1:21" s="142" customFormat="1">
      <c r="A2" s="126" t="s">
        <v>121</v>
      </c>
      <c r="B2" s="126" t="s">
        <v>73</v>
      </c>
      <c r="C2" s="126" t="s">
        <v>74</v>
      </c>
      <c r="D2" s="126" t="s">
        <v>75</v>
      </c>
      <c r="E2" s="126" t="s">
        <v>76</v>
      </c>
      <c r="F2" s="126" t="s">
        <v>77</v>
      </c>
      <c r="G2" s="126" t="s">
        <v>78</v>
      </c>
      <c r="H2" s="126" t="s">
        <v>79</v>
      </c>
      <c r="I2" s="126" t="s">
        <v>80</v>
      </c>
      <c r="J2" s="126" t="s">
        <v>81</v>
      </c>
      <c r="K2" s="126" t="s">
        <v>82</v>
      </c>
      <c r="L2" s="126" t="s">
        <v>83</v>
      </c>
      <c r="M2" s="126" t="s">
        <v>84</v>
      </c>
      <c r="N2" s="126" t="s">
        <v>85</v>
      </c>
      <c r="O2" s="141" t="s">
        <v>86</v>
      </c>
      <c r="P2" s="141" t="s">
        <v>87</v>
      </c>
      <c r="Q2" s="141" t="s">
        <v>88</v>
      </c>
      <c r="R2" s="141" t="s">
        <v>89</v>
      </c>
      <c r="S2" s="141" t="s">
        <v>90</v>
      </c>
      <c r="T2" s="170"/>
      <c r="U2" s="157"/>
    </row>
    <row r="3" spans="1:21">
      <c r="A3" s="195" t="s">
        <v>310</v>
      </c>
      <c r="B3" s="195" t="s">
        <v>101</v>
      </c>
      <c r="C3" s="196">
        <v>1233.5220000000002</v>
      </c>
      <c r="D3" s="196">
        <v>983</v>
      </c>
      <c r="E3" s="195">
        <f>2414661/1000</f>
        <v>2414.6610000000001</v>
      </c>
      <c r="F3" s="195">
        <f>2198795/1000</f>
        <v>2198.7950000000001</v>
      </c>
      <c r="G3" s="195">
        <f>2197301/1000</f>
        <v>2197.3009999999999</v>
      </c>
      <c r="H3" s="195">
        <f>2170990/1000</f>
        <v>2170.9899999999998</v>
      </c>
      <c r="I3" s="195">
        <f>2442916/1000</f>
        <v>2442.9160000000002</v>
      </c>
      <c r="J3" s="195">
        <f>2148882/1000</f>
        <v>2148.8820000000001</v>
      </c>
      <c r="K3" s="195">
        <f>1718913/1000</f>
        <v>1718.913</v>
      </c>
      <c r="L3" s="195">
        <f>1753955/1000</f>
        <v>1753.9549999999999</v>
      </c>
      <c r="M3" s="195">
        <f>1649300/1000</f>
        <v>1649.3</v>
      </c>
      <c r="N3" s="195">
        <f>2061215/1000</f>
        <v>2061.2150000000001</v>
      </c>
      <c r="O3" s="195"/>
      <c r="P3" s="195">
        <f>SUM(C3:E3)</f>
        <v>4631.183</v>
      </c>
      <c r="Q3" s="195">
        <f>SUM(F3:H3)</f>
        <v>6567.0859999999993</v>
      </c>
      <c r="R3" s="195">
        <f t="shared" ref="R3" si="0">SUM(I3:K3)</f>
        <v>6310.7110000000011</v>
      </c>
      <c r="S3" s="195">
        <f t="shared" ref="S3" si="1">SUM(L3:N3)</f>
        <v>5464.47</v>
      </c>
      <c r="T3" s="168"/>
    </row>
    <row r="4" spans="1:21">
      <c r="A4" s="195" t="s">
        <v>311</v>
      </c>
      <c r="B4" s="195" t="s">
        <v>101</v>
      </c>
      <c r="C4" s="196">
        <v>443</v>
      </c>
      <c r="D4" s="196">
        <f>251250/1000</f>
        <v>251.25</v>
      </c>
      <c r="E4" s="195">
        <f>543069/1000</f>
        <v>543.06899999999996</v>
      </c>
      <c r="F4" s="195">
        <f>88335/1000</f>
        <v>88.334999999999994</v>
      </c>
      <c r="G4" s="195">
        <f>774190/1000</f>
        <v>774.19</v>
      </c>
      <c r="H4" s="195">
        <f>319418/1000</f>
        <v>319.41800000000001</v>
      </c>
      <c r="I4" s="195">
        <f>508880/1000</f>
        <v>508.88</v>
      </c>
      <c r="J4" s="195">
        <f>630609/1000</f>
        <v>630.60900000000004</v>
      </c>
      <c r="K4" s="195">
        <f>444559/1000</f>
        <v>444.55900000000003</v>
      </c>
      <c r="L4" s="195">
        <f>18900/1000</f>
        <v>18.899999999999999</v>
      </c>
      <c r="M4" s="195">
        <f>113760/1000</f>
        <v>113.76</v>
      </c>
      <c r="N4" s="195">
        <f>369092/1000</f>
        <v>369.09199999999998</v>
      </c>
      <c r="O4" s="195"/>
      <c r="P4" s="195">
        <f t="shared" ref="P4:P9" si="2">SUM(C4:E4)</f>
        <v>1237.319</v>
      </c>
      <c r="Q4" s="195">
        <f t="shared" ref="Q4:Q10" si="3">SUM(F4:H4)</f>
        <v>1181.9430000000002</v>
      </c>
      <c r="R4" s="195">
        <f t="shared" ref="R4:R10" si="4">SUM(I4:K4)</f>
        <v>1584.048</v>
      </c>
      <c r="S4" s="195">
        <f t="shared" ref="S4:S10" si="5">SUM(L4:N4)</f>
        <v>501.75199999999995</v>
      </c>
      <c r="T4" s="168"/>
    </row>
    <row r="5" spans="1:21">
      <c r="A5" s="195" t="s">
        <v>346</v>
      </c>
      <c r="B5" s="195" t="s">
        <v>101</v>
      </c>
      <c r="C5" s="196">
        <v>0</v>
      </c>
      <c r="D5" s="196">
        <f>92480/1000</f>
        <v>92.48</v>
      </c>
      <c r="E5" s="195">
        <f>430117/1000</f>
        <v>430.11700000000002</v>
      </c>
      <c r="F5" s="195">
        <f>722734/1000</f>
        <v>722.73400000000004</v>
      </c>
      <c r="G5" s="195">
        <v>0</v>
      </c>
      <c r="H5" s="195">
        <f>434630/1000</f>
        <v>434.63</v>
      </c>
      <c r="I5" s="195">
        <f>375270/1000</f>
        <v>375.27</v>
      </c>
      <c r="J5" s="195">
        <f>77210/1000</f>
        <v>77.209999999999994</v>
      </c>
      <c r="K5" s="195">
        <v>0</v>
      </c>
      <c r="L5" s="195">
        <f>550880/1000</f>
        <v>550.88</v>
      </c>
      <c r="M5" s="195">
        <f>352255/1000</f>
        <v>352.255</v>
      </c>
      <c r="N5" s="195">
        <f>533023/1000</f>
        <v>533.02300000000002</v>
      </c>
      <c r="O5" s="195"/>
      <c r="P5" s="195">
        <f t="shared" si="2"/>
        <v>522.59699999999998</v>
      </c>
      <c r="Q5" s="195">
        <f t="shared" si="3"/>
        <v>1157.364</v>
      </c>
      <c r="R5" s="195">
        <f t="shared" si="4"/>
        <v>452.47999999999996</v>
      </c>
      <c r="S5" s="195">
        <f t="shared" si="5"/>
        <v>1436.1579999999999</v>
      </c>
      <c r="T5" s="168"/>
    </row>
    <row r="6" spans="1:21">
      <c r="A6" s="197" t="s">
        <v>411</v>
      </c>
      <c r="B6" s="195" t="s">
        <v>101</v>
      </c>
      <c r="C6" s="196">
        <v>114</v>
      </c>
      <c r="D6" s="196">
        <v>88</v>
      </c>
      <c r="E6" s="195">
        <f>206339/1000</f>
        <v>206.339</v>
      </c>
      <c r="F6" s="195">
        <f>209205/1000</f>
        <v>209.20500000000001</v>
      </c>
      <c r="G6" s="195">
        <f>204699/1000</f>
        <v>204.69900000000001</v>
      </c>
      <c r="H6" s="195">
        <f>201010/1000</f>
        <v>201.01</v>
      </c>
      <c r="I6" s="195">
        <f>188848/1000</f>
        <v>188.84800000000001</v>
      </c>
      <c r="J6" s="195">
        <f>204034/1000</f>
        <v>204.03399999999999</v>
      </c>
      <c r="K6" s="195">
        <f>133775/1000</f>
        <v>133.77500000000001</v>
      </c>
      <c r="L6" s="195">
        <f>153045/1000</f>
        <v>153.04499999999999</v>
      </c>
      <c r="M6" s="195">
        <f>156700/1000</f>
        <v>156.69999999999999</v>
      </c>
      <c r="N6" s="195">
        <f>175785/1000</f>
        <v>175.785</v>
      </c>
      <c r="O6" s="195"/>
      <c r="P6" s="195">
        <f t="shared" ref="P6" si="6">SUM(C6:E6)</f>
        <v>408.339</v>
      </c>
      <c r="Q6" s="195">
        <f t="shared" ref="Q6" si="7">SUM(F6:H6)</f>
        <v>614.91399999999999</v>
      </c>
      <c r="R6" s="195">
        <f t="shared" ref="R6" si="8">SUM(I6:K6)</f>
        <v>526.65700000000004</v>
      </c>
      <c r="S6" s="195">
        <f t="shared" ref="S6" si="9">SUM(L6:N6)</f>
        <v>485.53</v>
      </c>
      <c r="T6" s="168"/>
    </row>
    <row r="7" spans="1:21">
      <c r="A7" s="181" t="s">
        <v>312</v>
      </c>
      <c r="B7" s="181" t="s">
        <v>101</v>
      </c>
      <c r="C7" s="182">
        <v>0</v>
      </c>
      <c r="D7" s="182">
        <v>0</v>
      </c>
      <c r="E7" s="182">
        <v>0</v>
      </c>
      <c r="F7" s="181"/>
      <c r="G7" s="181"/>
      <c r="H7" s="181"/>
      <c r="I7" s="181"/>
      <c r="J7" s="181"/>
      <c r="K7" s="181"/>
      <c r="L7" s="181"/>
      <c r="M7" s="181"/>
      <c r="N7" s="181"/>
      <c r="O7" s="181"/>
      <c r="P7" s="181">
        <f>SUM(C7:E7)</f>
        <v>0</v>
      </c>
      <c r="Q7" s="181">
        <f t="shared" si="3"/>
        <v>0</v>
      </c>
      <c r="R7" s="181">
        <f t="shared" si="4"/>
        <v>0</v>
      </c>
      <c r="S7" s="181">
        <f t="shared" si="5"/>
        <v>0</v>
      </c>
      <c r="T7" s="168"/>
    </row>
    <row r="8" spans="1:21">
      <c r="A8" s="181" t="s">
        <v>313</v>
      </c>
      <c r="B8" s="181" t="s">
        <v>101</v>
      </c>
      <c r="C8" s="182">
        <v>0</v>
      </c>
      <c r="D8" s="182">
        <v>0</v>
      </c>
      <c r="E8" s="182">
        <v>0</v>
      </c>
      <c r="F8" s="181"/>
      <c r="G8" s="181"/>
      <c r="H8" s="181"/>
      <c r="I8" s="181"/>
      <c r="J8" s="181"/>
      <c r="K8" s="181"/>
      <c r="L8" s="181"/>
      <c r="M8" s="181"/>
      <c r="N8" s="181">
        <f>27623.11448/1000</f>
        <v>27.623114480000002</v>
      </c>
      <c r="O8" s="181"/>
      <c r="P8" s="181">
        <f t="shared" si="2"/>
        <v>0</v>
      </c>
      <c r="Q8" s="181">
        <f t="shared" si="3"/>
        <v>0</v>
      </c>
      <c r="R8" s="181">
        <f t="shared" si="4"/>
        <v>0</v>
      </c>
      <c r="S8" s="181">
        <f t="shared" si="5"/>
        <v>27.623114480000002</v>
      </c>
      <c r="T8" s="168"/>
    </row>
    <row r="9" spans="1:21">
      <c r="A9" s="181" t="s">
        <v>347</v>
      </c>
      <c r="B9" s="181" t="s">
        <v>101</v>
      </c>
      <c r="C9" s="182">
        <v>0</v>
      </c>
      <c r="D9" s="182">
        <v>0</v>
      </c>
      <c r="E9" s="182">
        <v>0</v>
      </c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>
        <f t="shared" si="2"/>
        <v>0</v>
      </c>
      <c r="Q9" s="181">
        <f t="shared" si="3"/>
        <v>0</v>
      </c>
      <c r="R9" s="181">
        <f t="shared" si="4"/>
        <v>0</v>
      </c>
      <c r="S9" s="181">
        <f t="shared" si="5"/>
        <v>0</v>
      </c>
      <c r="T9" s="168"/>
    </row>
    <row r="10" spans="1:21">
      <c r="A10" s="180" t="s">
        <v>412</v>
      </c>
      <c r="B10" s="181" t="s">
        <v>101</v>
      </c>
      <c r="C10" s="182">
        <v>0</v>
      </c>
      <c r="D10" s="182">
        <v>0</v>
      </c>
      <c r="E10" s="182">
        <v>0</v>
      </c>
      <c r="F10" s="182"/>
      <c r="G10" s="182"/>
      <c r="H10" s="182"/>
      <c r="I10" s="182"/>
      <c r="J10" s="182"/>
      <c r="K10" s="182"/>
      <c r="L10" s="182"/>
      <c r="M10" s="182"/>
      <c r="N10" s="181"/>
      <c r="O10" s="181"/>
      <c r="P10" s="181">
        <f>SUM(C10:L10)</f>
        <v>0</v>
      </c>
      <c r="Q10" s="181">
        <f t="shared" si="3"/>
        <v>0</v>
      </c>
      <c r="R10" s="181">
        <f t="shared" si="4"/>
        <v>0</v>
      </c>
      <c r="S10" s="181">
        <f t="shared" si="5"/>
        <v>0</v>
      </c>
      <c r="T10" s="168"/>
    </row>
    <row r="11" spans="1:21">
      <c r="A11" s="200" t="s">
        <v>315</v>
      </c>
      <c r="B11" s="200" t="s">
        <v>101</v>
      </c>
      <c r="C11" s="201">
        <f>C3+C7</f>
        <v>1233.5220000000002</v>
      </c>
      <c r="D11" s="201">
        <f>D3+D7</f>
        <v>983</v>
      </c>
      <c r="E11" s="201">
        <f t="shared" ref="E11:O11" si="10">E3+E7</f>
        <v>2414.6610000000001</v>
      </c>
      <c r="F11" s="201">
        <f t="shared" si="10"/>
        <v>2198.7950000000001</v>
      </c>
      <c r="G11" s="201">
        <f t="shared" si="10"/>
        <v>2197.3009999999999</v>
      </c>
      <c r="H11" s="201">
        <f t="shared" si="10"/>
        <v>2170.9899999999998</v>
      </c>
      <c r="I11" s="201">
        <f t="shared" si="10"/>
        <v>2442.9160000000002</v>
      </c>
      <c r="J11" s="201">
        <f t="shared" si="10"/>
        <v>2148.8820000000001</v>
      </c>
      <c r="K11" s="201">
        <f t="shared" si="10"/>
        <v>1718.913</v>
      </c>
      <c r="L11" s="201">
        <f t="shared" si="10"/>
        <v>1753.9549999999999</v>
      </c>
      <c r="M11" s="201">
        <f t="shared" si="10"/>
        <v>1649.3</v>
      </c>
      <c r="N11" s="201">
        <f t="shared" si="10"/>
        <v>2061.2150000000001</v>
      </c>
      <c r="O11" s="201">
        <f t="shared" si="10"/>
        <v>0</v>
      </c>
      <c r="P11" s="201">
        <f>P3+P7</f>
        <v>4631.183</v>
      </c>
      <c r="Q11" s="201">
        <f t="shared" ref="Q11:S11" si="11">Q3+Q7</f>
        <v>6567.0859999999993</v>
      </c>
      <c r="R11" s="201">
        <f t="shared" si="11"/>
        <v>6310.7110000000011</v>
      </c>
      <c r="S11" s="201">
        <f t="shared" si="11"/>
        <v>5464.47</v>
      </c>
      <c r="T11" s="171"/>
    </row>
    <row r="12" spans="1:21">
      <c r="A12" s="200" t="s">
        <v>316</v>
      </c>
      <c r="B12" s="200" t="s">
        <v>101</v>
      </c>
      <c r="C12" s="201">
        <f>C4+C8</f>
        <v>443</v>
      </c>
      <c r="D12" s="201">
        <f t="shared" ref="D12:P12" si="12">D4+D8</f>
        <v>251.25</v>
      </c>
      <c r="E12" s="201">
        <f t="shared" si="12"/>
        <v>543.06899999999996</v>
      </c>
      <c r="F12" s="201">
        <f t="shared" si="12"/>
        <v>88.334999999999994</v>
      </c>
      <c r="G12" s="201">
        <f t="shared" si="12"/>
        <v>774.19</v>
      </c>
      <c r="H12" s="201">
        <f t="shared" si="12"/>
        <v>319.41800000000001</v>
      </c>
      <c r="I12" s="201">
        <f t="shared" si="12"/>
        <v>508.88</v>
      </c>
      <c r="J12" s="201">
        <f t="shared" si="12"/>
        <v>630.60900000000004</v>
      </c>
      <c r="K12" s="201">
        <f t="shared" si="12"/>
        <v>444.55900000000003</v>
      </c>
      <c r="L12" s="201">
        <f t="shared" si="12"/>
        <v>18.899999999999999</v>
      </c>
      <c r="M12" s="201">
        <f t="shared" si="12"/>
        <v>113.76</v>
      </c>
      <c r="N12" s="201">
        <f t="shared" si="12"/>
        <v>396.71511448000001</v>
      </c>
      <c r="O12" s="201">
        <f t="shared" si="12"/>
        <v>0</v>
      </c>
      <c r="P12" s="201">
        <f t="shared" si="12"/>
        <v>1237.319</v>
      </c>
      <c r="Q12" s="201">
        <f t="shared" ref="Q12:S12" si="13">Q4+Q8</f>
        <v>1181.9430000000002</v>
      </c>
      <c r="R12" s="201">
        <f t="shared" si="13"/>
        <v>1584.048</v>
      </c>
      <c r="S12" s="201">
        <f t="shared" si="13"/>
        <v>529.37511447999998</v>
      </c>
      <c r="T12" s="171"/>
    </row>
    <row r="13" spans="1:21">
      <c r="A13" s="200" t="s">
        <v>317</v>
      </c>
      <c r="B13" s="200" t="s">
        <v>101</v>
      </c>
      <c r="C13" s="201">
        <f>C5+C9</f>
        <v>0</v>
      </c>
      <c r="D13" s="201">
        <f t="shared" ref="D13:O13" si="14">D5+D9</f>
        <v>92.48</v>
      </c>
      <c r="E13" s="201">
        <f t="shared" si="14"/>
        <v>430.11700000000002</v>
      </c>
      <c r="F13" s="201">
        <f t="shared" si="14"/>
        <v>722.73400000000004</v>
      </c>
      <c r="G13" s="201">
        <f t="shared" si="14"/>
        <v>0</v>
      </c>
      <c r="H13" s="201">
        <f t="shared" si="14"/>
        <v>434.63</v>
      </c>
      <c r="I13" s="201">
        <f t="shared" si="14"/>
        <v>375.27</v>
      </c>
      <c r="J13" s="201">
        <f t="shared" si="14"/>
        <v>77.209999999999994</v>
      </c>
      <c r="K13" s="201">
        <f t="shared" si="14"/>
        <v>0</v>
      </c>
      <c r="L13" s="201">
        <f t="shared" si="14"/>
        <v>550.88</v>
      </c>
      <c r="M13" s="201">
        <f t="shared" si="14"/>
        <v>352.255</v>
      </c>
      <c r="N13" s="201">
        <f t="shared" si="14"/>
        <v>533.02300000000002</v>
      </c>
      <c r="O13" s="201">
        <f t="shared" si="14"/>
        <v>0</v>
      </c>
      <c r="P13" s="201">
        <f>P5+P9</f>
        <v>522.59699999999998</v>
      </c>
      <c r="Q13" s="201">
        <f t="shared" ref="Q13:S13" si="15">Q5+Q9</f>
        <v>1157.364</v>
      </c>
      <c r="R13" s="201">
        <f t="shared" si="15"/>
        <v>452.47999999999996</v>
      </c>
      <c r="S13" s="201">
        <f t="shared" si="15"/>
        <v>1436.1579999999999</v>
      </c>
      <c r="T13" s="171"/>
    </row>
    <row r="14" spans="1:21">
      <c r="A14" s="200" t="s">
        <v>413</v>
      </c>
      <c r="B14" s="200" t="s">
        <v>101</v>
      </c>
      <c r="C14" s="201">
        <f>C6+C10</f>
        <v>114</v>
      </c>
      <c r="D14" s="201">
        <f t="shared" ref="D14:O14" si="16">D6+D10</f>
        <v>88</v>
      </c>
      <c r="E14" s="201">
        <f t="shared" si="16"/>
        <v>206.339</v>
      </c>
      <c r="F14" s="201">
        <f t="shared" si="16"/>
        <v>209.20500000000001</v>
      </c>
      <c r="G14" s="201">
        <f t="shared" si="16"/>
        <v>204.69900000000001</v>
      </c>
      <c r="H14" s="201">
        <f t="shared" si="16"/>
        <v>201.01</v>
      </c>
      <c r="I14" s="201">
        <f t="shared" si="16"/>
        <v>188.84800000000001</v>
      </c>
      <c r="J14" s="201">
        <f t="shared" si="16"/>
        <v>204.03399999999999</v>
      </c>
      <c r="K14" s="201">
        <f t="shared" si="16"/>
        <v>133.77500000000001</v>
      </c>
      <c r="L14" s="201">
        <f t="shared" si="16"/>
        <v>153.04499999999999</v>
      </c>
      <c r="M14" s="201">
        <f t="shared" si="16"/>
        <v>156.69999999999999</v>
      </c>
      <c r="N14" s="201">
        <f t="shared" si="16"/>
        <v>175.785</v>
      </c>
      <c r="O14" s="201">
        <f t="shared" si="16"/>
        <v>0</v>
      </c>
      <c r="P14" s="201">
        <f>P6+P10</f>
        <v>408.339</v>
      </c>
      <c r="Q14" s="201">
        <f t="shared" ref="Q14:S14" si="17">Q6+Q10</f>
        <v>614.91399999999999</v>
      </c>
      <c r="R14" s="201">
        <f t="shared" si="17"/>
        <v>526.65700000000004</v>
      </c>
      <c r="S14" s="201">
        <f t="shared" si="17"/>
        <v>485.53</v>
      </c>
      <c r="T14" s="130">
        <f t="shared" ref="T14" si="18">T6+T10</f>
        <v>0</v>
      </c>
    </row>
    <row r="15" spans="1:21">
      <c r="A15" s="130" t="s">
        <v>318</v>
      </c>
      <c r="B15" s="68" t="s">
        <v>101</v>
      </c>
      <c r="C15" s="130">
        <f>SUM(C3:C6)</f>
        <v>1790.5220000000002</v>
      </c>
      <c r="D15" s="130">
        <f>SUM(D3:D6)</f>
        <v>1414.73</v>
      </c>
      <c r="E15" s="130">
        <f>SUM(E3:E6)</f>
        <v>3594.1860000000001</v>
      </c>
      <c r="F15" s="130">
        <f t="shared" ref="F15:O15" si="19">SUM(F3:F6)</f>
        <v>3219.069</v>
      </c>
      <c r="G15" s="130">
        <f t="shared" si="19"/>
        <v>3176.19</v>
      </c>
      <c r="H15" s="130">
        <f t="shared" si="19"/>
        <v>3126.0479999999998</v>
      </c>
      <c r="I15" s="130">
        <f t="shared" si="19"/>
        <v>3515.9140000000002</v>
      </c>
      <c r="J15" s="130">
        <f t="shared" si="19"/>
        <v>3060.7350000000001</v>
      </c>
      <c r="K15" s="130">
        <f t="shared" si="19"/>
        <v>2297.2470000000003</v>
      </c>
      <c r="L15" s="130">
        <f t="shared" si="19"/>
        <v>2476.7800000000002</v>
      </c>
      <c r="M15" s="130">
        <f t="shared" si="19"/>
        <v>2272.0149999999999</v>
      </c>
      <c r="N15" s="130">
        <f t="shared" si="19"/>
        <v>3139.1150000000002</v>
      </c>
      <c r="O15" s="130">
        <f t="shared" si="19"/>
        <v>0</v>
      </c>
      <c r="P15" s="130">
        <f>SUM(P3:P6)</f>
        <v>6799.4380000000001</v>
      </c>
      <c r="Q15" s="130">
        <f>SUM(Q3:Q6)</f>
        <v>9521.3070000000007</v>
      </c>
      <c r="R15" s="130">
        <f t="shared" ref="R15:S15" si="20">SUM(R3:R6)</f>
        <v>8873.8960000000006</v>
      </c>
      <c r="S15" s="130">
        <f t="shared" si="20"/>
        <v>7887.9099999999989</v>
      </c>
      <c r="T15" s="171"/>
    </row>
    <row r="16" spans="1:21">
      <c r="A16" s="130" t="s">
        <v>314</v>
      </c>
      <c r="B16" s="68" t="s">
        <v>101</v>
      </c>
      <c r="C16" s="130">
        <f>SUM(C7:C10)</f>
        <v>0</v>
      </c>
      <c r="D16" s="130">
        <f t="shared" ref="D16:P16" si="21">SUM(D7:D10)</f>
        <v>0</v>
      </c>
      <c r="E16" s="130">
        <f t="shared" si="21"/>
        <v>0</v>
      </c>
      <c r="F16" s="130">
        <f t="shared" si="21"/>
        <v>0</v>
      </c>
      <c r="G16" s="130">
        <f t="shared" si="21"/>
        <v>0</v>
      </c>
      <c r="H16" s="130">
        <f t="shared" si="21"/>
        <v>0</v>
      </c>
      <c r="I16" s="130">
        <f t="shared" si="21"/>
        <v>0</v>
      </c>
      <c r="J16" s="130">
        <f t="shared" si="21"/>
        <v>0</v>
      </c>
      <c r="K16" s="130">
        <f t="shared" si="21"/>
        <v>0</v>
      </c>
      <c r="L16" s="130">
        <f t="shared" si="21"/>
        <v>0</v>
      </c>
      <c r="M16" s="130">
        <f t="shared" si="21"/>
        <v>0</v>
      </c>
      <c r="N16" s="130">
        <f t="shared" si="21"/>
        <v>27.623114480000002</v>
      </c>
      <c r="O16" s="130">
        <f t="shared" si="21"/>
        <v>0</v>
      </c>
      <c r="P16" s="130">
        <f t="shared" si="21"/>
        <v>0</v>
      </c>
      <c r="Q16" s="130">
        <f>SUM(Q7:Q10)</f>
        <v>0</v>
      </c>
      <c r="R16" s="130">
        <f t="shared" ref="R16:S16" si="22">SUM(R7:R10)</f>
        <v>0</v>
      </c>
      <c r="S16" s="130">
        <f t="shared" si="22"/>
        <v>27.623114480000002</v>
      </c>
      <c r="T16" s="171"/>
    </row>
    <row r="17" spans="1:21" s="145" customFormat="1">
      <c r="A17" s="153" t="s">
        <v>357</v>
      </c>
      <c r="B17" s="124" t="s">
        <v>101</v>
      </c>
      <c r="C17" s="153">
        <f>SUM(C15:C16)</f>
        <v>1790.5220000000002</v>
      </c>
      <c r="D17" s="153">
        <f>SUM(D15:D16)</f>
        <v>1414.73</v>
      </c>
      <c r="E17" s="153">
        <f t="shared" ref="E17:O17" si="23">SUM(E15:E16)</f>
        <v>3594.1860000000001</v>
      </c>
      <c r="F17" s="153">
        <f t="shared" si="23"/>
        <v>3219.069</v>
      </c>
      <c r="G17" s="153">
        <f t="shared" si="23"/>
        <v>3176.19</v>
      </c>
      <c r="H17" s="153">
        <f t="shared" si="23"/>
        <v>3126.0479999999998</v>
      </c>
      <c r="I17" s="153">
        <f t="shared" si="23"/>
        <v>3515.9140000000002</v>
      </c>
      <c r="J17" s="153">
        <f t="shared" si="23"/>
        <v>3060.7350000000001</v>
      </c>
      <c r="K17" s="153">
        <f t="shared" si="23"/>
        <v>2297.2470000000003</v>
      </c>
      <c r="L17" s="153">
        <f t="shared" si="23"/>
        <v>2476.7800000000002</v>
      </c>
      <c r="M17" s="153">
        <f t="shared" si="23"/>
        <v>2272.0149999999999</v>
      </c>
      <c r="N17" s="153">
        <f t="shared" si="23"/>
        <v>3166.7381144800001</v>
      </c>
      <c r="O17" s="153">
        <f t="shared" si="23"/>
        <v>0</v>
      </c>
      <c r="P17" s="153">
        <f>SUM(P11:P13)</f>
        <v>6391.0990000000002</v>
      </c>
      <c r="Q17" s="153">
        <f t="shared" ref="Q17:S17" si="24">SUM(Q11:Q13)</f>
        <v>8906.393</v>
      </c>
      <c r="R17" s="153">
        <f t="shared" si="24"/>
        <v>8347.2390000000014</v>
      </c>
      <c r="S17" s="153">
        <f t="shared" si="24"/>
        <v>7430.0031144799996</v>
      </c>
      <c r="T17" s="171"/>
      <c r="U17" s="157"/>
    </row>
    <row r="18" spans="1:21">
      <c r="A18" s="198" t="s">
        <v>404</v>
      </c>
      <c r="B18" s="198" t="s">
        <v>333</v>
      </c>
      <c r="C18" s="199">
        <v>7350</v>
      </c>
      <c r="D18" s="199">
        <v>7350</v>
      </c>
      <c r="E18" s="199">
        <v>7350</v>
      </c>
      <c r="F18" s="199">
        <v>7350</v>
      </c>
      <c r="G18" s="199">
        <v>7350</v>
      </c>
      <c r="H18" s="199">
        <v>7350</v>
      </c>
      <c r="I18" s="199">
        <v>7350</v>
      </c>
      <c r="J18" s="199">
        <v>7350</v>
      </c>
      <c r="K18" s="199">
        <v>7350</v>
      </c>
      <c r="L18" s="199">
        <v>7350</v>
      </c>
      <c r="M18" s="199">
        <v>7350</v>
      </c>
      <c r="N18" s="199">
        <v>7350</v>
      </c>
      <c r="O18" s="199">
        <v>7350</v>
      </c>
      <c r="P18" s="199">
        <v>7350</v>
      </c>
      <c r="Q18" s="199">
        <v>7350</v>
      </c>
      <c r="R18" s="199">
        <v>7350</v>
      </c>
      <c r="S18" s="199">
        <v>7350</v>
      </c>
      <c r="T18" s="168"/>
    </row>
    <row r="19" spans="1:21">
      <c r="A19" s="198" t="s">
        <v>405</v>
      </c>
      <c r="B19" s="198" t="s">
        <v>333</v>
      </c>
      <c r="C19" s="198">
        <v>5780</v>
      </c>
      <c r="D19" s="198">
        <v>5780</v>
      </c>
      <c r="E19" s="198">
        <v>5780</v>
      </c>
      <c r="F19" s="198">
        <v>5780</v>
      </c>
      <c r="G19" s="198">
        <v>5780</v>
      </c>
      <c r="H19" s="198">
        <v>5780</v>
      </c>
      <c r="I19" s="198">
        <v>5780</v>
      </c>
      <c r="J19" s="198">
        <v>5780</v>
      </c>
      <c r="K19" s="198">
        <v>5780</v>
      </c>
      <c r="L19" s="198">
        <v>5780</v>
      </c>
      <c r="M19" s="198">
        <v>5780</v>
      </c>
      <c r="N19" s="198">
        <v>5780</v>
      </c>
      <c r="O19" s="198">
        <v>5780</v>
      </c>
      <c r="P19" s="198">
        <v>5780</v>
      </c>
      <c r="Q19" s="198">
        <v>5780</v>
      </c>
      <c r="R19" s="198">
        <v>5780</v>
      </c>
      <c r="S19" s="198">
        <v>5780</v>
      </c>
      <c r="T19" s="168"/>
    </row>
    <row r="20" spans="1:21">
      <c r="A20" s="198" t="s">
        <v>406</v>
      </c>
      <c r="B20" s="198" t="s">
        <v>333</v>
      </c>
      <c r="C20" s="198">
        <v>5520</v>
      </c>
      <c r="D20" s="198">
        <v>5520</v>
      </c>
      <c r="E20" s="198">
        <v>5520</v>
      </c>
      <c r="F20" s="198">
        <v>5520</v>
      </c>
      <c r="G20" s="198">
        <v>5520</v>
      </c>
      <c r="H20" s="198">
        <v>5520</v>
      </c>
      <c r="I20" s="198">
        <v>5520</v>
      </c>
      <c r="J20" s="198">
        <v>5520</v>
      </c>
      <c r="K20" s="198">
        <v>5520</v>
      </c>
      <c r="L20" s="198">
        <v>5520</v>
      </c>
      <c r="M20" s="198">
        <v>5520</v>
      </c>
      <c r="N20" s="198">
        <v>5520</v>
      </c>
      <c r="O20" s="198">
        <v>5520</v>
      </c>
      <c r="P20" s="198">
        <v>5520</v>
      </c>
      <c r="Q20" s="198">
        <v>5520</v>
      </c>
      <c r="R20" s="198">
        <v>5520</v>
      </c>
      <c r="S20" s="198">
        <v>5520</v>
      </c>
      <c r="T20" s="168"/>
    </row>
    <row r="21" spans="1:21">
      <c r="A21" s="198" t="s">
        <v>414</v>
      </c>
      <c r="B21" s="198" t="s">
        <v>333</v>
      </c>
      <c r="C21" s="198">
        <v>6810</v>
      </c>
      <c r="D21" s="198">
        <v>6810</v>
      </c>
      <c r="E21" s="198">
        <v>6810</v>
      </c>
      <c r="F21" s="198">
        <v>6810</v>
      </c>
      <c r="G21" s="198">
        <v>6810</v>
      </c>
      <c r="H21" s="198">
        <v>6810</v>
      </c>
      <c r="I21" s="198">
        <v>6810</v>
      </c>
      <c r="J21" s="198">
        <v>6810</v>
      </c>
      <c r="K21" s="198">
        <v>6810</v>
      </c>
      <c r="L21" s="198">
        <v>6810</v>
      </c>
      <c r="M21" s="198">
        <v>6810</v>
      </c>
      <c r="N21" s="198">
        <v>6810</v>
      </c>
      <c r="O21" s="198">
        <v>6810</v>
      </c>
      <c r="P21" s="198">
        <v>6810</v>
      </c>
      <c r="Q21" s="198">
        <v>6810</v>
      </c>
      <c r="R21" s="198">
        <v>6810</v>
      </c>
      <c r="S21" s="198">
        <v>6810</v>
      </c>
      <c r="T21" s="168"/>
    </row>
    <row r="22" spans="1:21">
      <c r="A22" s="204" t="s">
        <v>401</v>
      </c>
      <c r="B22" s="204" t="s">
        <v>333</v>
      </c>
      <c r="C22" s="216">
        <f>((C11*C18)+(C12*C19)+(C13*C20)+(C14*C21))/C17</f>
        <v>6927.1791689797719</v>
      </c>
      <c r="D22" s="216">
        <f t="shared" ref="D22:S22" si="25">((D11*D18)+(D12*D19)+(D13*D20)+(D14*D21))/D17</f>
        <v>6917.9593279282972</v>
      </c>
      <c r="E22" s="216">
        <f t="shared" si="25"/>
        <v>6862.7810580754585</v>
      </c>
      <c r="F22" s="216">
        <f t="shared" si="25"/>
        <v>6860.9580223350295</v>
      </c>
      <c r="G22" s="216">
        <f t="shared" si="25"/>
        <v>6932.5137161189987</v>
      </c>
      <c r="H22" s="216">
        <f t="shared" si="25"/>
        <v>6900.4213115089733</v>
      </c>
      <c r="I22" s="216">
        <f t="shared" si="25"/>
        <v>6898.435024292402</v>
      </c>
      <c r="J22" s="216">
        <f t="shared" si="25"/>
        <v>6944.3690682140077</v>
      </c>
      <c r="K22" s="216">
        <f t="shared" si="25"/>
        <v>7014.730814753485</v>
      </c>
      <c r="L22" s="216">
        <f t="shared" si="25"/>
        <v>6897.627282197046</v>
      </c>
      <c r="M22" s="216">
        <f t="shared" si="25"/>
        <v>6950.4217181664735</v>
      </c>
      <c r="N22" s="216">
        <f t="shared" si="25"/>
        <v>6815.3177312037906</v>
      </c>
      <c r="O22" s="216" t="e">
        <f t="shared" si="25"/>
        <v>#DIV/0!</v>
      </c>
      <c r="P22" s="216">
        <f t="shared" si="25"/>
        <v>7331.5126083948926</v>
      </c>
      <c r="Q22" s="216">
        <f t="shared" si="25"/>
        <v>7374.0206905309469</v>
      </c>
      <c r="R22" s="216">
        <f t="shared" si="25"/>
        <v>7382.5305660949689</v>
      </c>
      <c r="S22" s="216">
        <f t="shared" si="25"/>
        <v>7329.4308606094983</v>
      </c>
      <c r="T22" s="168"/>
    </row>
    <row r="23" spans="1:21" s="143" customFormat="1">
      <c r="A23" s="121" t="s">
        <v>358</v>
      </c>
      <c r="B23" s="80" t="s">
        <v>335</v>
      </c>
      <c r="C23" s="121">
        <v>9228477.4016560521</v>
      </c>
      <c r="D23" s="121">
        <v>4930580.0229936307</v>
      </c>
      <c r="E23" s="121">
        <v>18233956.121656053</v>
      </c>
      <c r="F23" s="121">
        <v>16498636.968630577</v>
      </c>
      <c r="G23" s="121">
        <v>15879436.248592356</v>
      </c>
      <c r="H23" s="121">
        <v>16129496.022611462</v>
      </c>
      <c r="I23" s="121">
        <v>18191175.30433758</v>
      </c>
      <c r="J23" s="121">
        <v>16165638.820853503</v>
      </c>
      <c r="K23" s="121">
        <v>12955186.795796176</v>
      </c>
      <c r="L23" s="121">
        <v>12294716.499898089</v>
      </c>
      <c r="M23" s="119">
        <v>12544717.188343948</v>
      </c>
      <c r="N23" s="119">
        <v>15057913.474585988</v>
      </c>
      <c r="O23" s="68">
        <f t="shared" ref="O23:O25" si="26">SUM(C23:N23)</f>
        <v>168109930.86995539</v>
      </c>
      <c r="P23" s="68">
        <f t="shared" ref="P23:P25" si="27">SUM(C23:E23)</f>
        <v>32393013.546305735</v>
      </c>
      <c r="Q23" s="68">
        <f t="shared" ref="Q23:Q25" si="28">SUM(F23:H23)</f>
        <v>48507569.239834398</v>
      </c>
      <c r="R23" s="68">
        <f t="shared" ref="R23:R25" si="29">SUM(I23:K23)</f>
        <v>47312000.920987263</v>
      </c>
      <c r="S23" s="68">
        <f t="shared" ref="S23:S25" si="30">SUM(L23:N23)</f>
        <v>39897347.162828028</v>
      </c>
      <c r="T23" s="168"/>
      <c r="U23" s="172"/>
    </row>
    <row r="24" spans="1:21" s="143" customFormat="1">
      <c r="A24" s="121" t="s">
        <v>359</v>
      </c>
      <c r="B24" s="80" t="s">
        <v>335</v>
      </c>
      <c r="C24" s="121"/>
      <c r="D24" s="121"/>
      <c r="E24" s="121"/>
      <c r="F24" s="121"/>
      <c r="G24" s="121"/>
      <c r="H24" s="121"/>
      <c r="I24" s="121"/>
      <c r="J24" s="121"/>
      <c r="K24" s="121"/>
      <c r="L24" s="121"/>
      <c r="M24" s="119"/>
      <c r="N24" s="119"/>
      <c r="O24" s="68">
        <f t="shared" si="26"/>
        <v>0</v>
      </c>
      <c r="P24" s="68">
        <f t="shared" si="27"/>
        <v>0</v>
      </c>
      <c r="Q24" s="68">
        <f t="shared" si="28"/>
        <v>0</v>
      </c>
      <c r="R24" s="68">
        <f t="shared" si="29"/>
        <v>0</v>
      </c>
      <c r="S24" s="68">
        <f t="shared" si="30"/>
        <v>0</v>
      </c>
      <c r="T24" s="168"/>
      <c r="U24" s="172"/>
    </row>
    <row r="25" spans="1:21" s="154" customFormat="1">
      <c r="A25" s="153" t="s">
        <v>360</v>
      </c>
      <c r="B25" s="124" t="s">
        <v>335</v>
      </c>
      <c r="C25" s="153">
        <f>SUM(C23:C24)</f>
        <v>9228477.4016560521</v>
      </c>
      <c r="D25" s="153">
        <f t="shared" ref="D25:N25" si="31">SUM(D23:D24)</f>
        <v>4930580.0229936307</v>
      </c>
      <c r="E25" s="153">
        <f t="shared" si="31"/>
        <v>18233956.121656053</v>
      </c>
      <c r="F25" s="153">
        <f t="shared" si="31"/>
        <v>16498636.968630577</v>
      </c>
      <c r="G25" s="153">
        <f t="shared" si="31"/>
        <v>15879436.248592356</v>
      </c>
      <c r="H25" s="153">
        <f t="shared" si="31"/>
        <v>16129496.022611462</v>
      </c>
      <c r="I25" s="153">
        <f t="shared" si="31"/>
        <v>18191175.30433758</v>
      </c>
      <c r="J25" s="153">
        <f t="shared" si="31"/>
        <v>16165638.820853503</v>
      </c>
      <c r="K25" s="153">
        <f t="shared" si="31"/>
        <v>12955186.795796176</v>
      </c>
      <c r="L25" s="153">
        <f t="shared" si="31"/>
        <v>12294716.499898089</v>
      </c>
      <c r="M25" s="153">
        <f t="shared" si="31"/>
        <v>12544717.188343948</v>
      </c>
      <c r="N25" s="153">
        <f t="shared" si="31"/>
        <v>15057913.474585988</v>
      </c>
      <c r="O25" s="124">
        <f t="shared" si="26"/>
        <v>168109930.86995539</v>
      </c>
      <c r="P25" s="124">
        <f t="shared" si="27"/>
        <v>32393013.546305735</v>
      </c>
      <c r="Q25" s="124">
        <f t="shared" si="28"/>
        <v>48507569.239834398</v>
      </c>
      <c r="R25" s="124">
        <f t="shared" si="29"/>
        <v>47312000.920987263</v>
      </c>
      <c r="S25" s="124">
        <f t="shared" si="30"/>
        <v>39897347.162828028</v>
      </c>
      <c r="T25" s="168"/>
      <c r="U25" s="172"/>
    </row>
    <row r="26" spans="1:21" s="143" customFormat="1" hidden="1">
      <c r="A26" s="80" t="s">
        <v>250</v>
      </c>
      <c r="B26" s="80" t="s">
        <v>101</v>
      </c>
      <c r="C26" s="121"/>
      <c r="D26" s="121"/>
      <c r="E26" s="121"/>
      <c r="F26" s="121"/>
      <c r="G26" s="121"/>
      <c r="H26" s="121"/>
      <c r="I26" s="121"/>
      <c r="J26" s="121"/>
      <c r="K26" s="121"/>
      <c r="L26" s="121"/>
      <c r="M26" s="119"/>
      <c r="N26" s="119"/>
      <c r="O26" s="68">
        <f t="shared" ref="O26:O34" si="32">SUM(C26:N26)</f>
        <v>0</v>
      </c>
      <c r="P26" s="68">
        <f t="shared" ref="P26:P35" si="33">SUM(C26:E26)</f>
        <v>0</v>
      </c>
      <c r="Q26" s="68">
        <f t="shared" ref="Q26:Q35" si="34">SUM(F26:H26)</f>
        <v>0</v>
      </c>
      <c r="R26" s="68">
        <f t="shared" ref="R26:R35" si="35">SUM(I26:K26)</f>
        <v>0</v>
      </c>
      <c r="S26" s="68">
        <f t="shared" ref="S26:S35" si="36">SUM(L26:N26)</f>
        <v>0</v>
      </c>
      <c r="T26" s="168"/>
      <c r="U26" s="172"/>
    </row>
    <row r="27" spans="1:21" s="143" customFormat="1" hidden="1">
      <c r="A27" s="80" t="s">
        <v>251</v>
      </c>
      <c r="B27" s="80" t="s">
        <v>101</v>
      </c>
      <c r="C27" s="121"/>
      <c r="D27" s="121"/>
      <c r="E27" s="121"/>
      <c r="F27" s="121"/>
      <c r="G27" s="121"/>
      <c r="H27" s="121"/>
      <c r="I27" s="121"/>
      <c r="J27" s="121"/>
      <c r="K27" s="121"/>
      <c r="L27" s="121"/>
      <c r="M27" s="119"/>
      <c r="N27" s="119"/>
      <c r="O27" s="68">
        <f t="shared" si="32"/>
        <v>0</v>
      </c>
      <c r="P27" s="68">
        <f t="shared" si="33"/>
        <v>0</v>
      </c>
      <c r="Q27" s="68">
        <f t="shared" si="34"/>
        <v>0</v>
      </c>
      <c r="R27" s="68">
        <f t="shared" si="35"/>
        <v>0</v>
      </c>
      <c r="S27" s="68">
        <f t="shared" si="36"/>
        <v>0</v>
      </c>
      <c r="T27" s="168"/>
      <c r="U27" s="172"/>
    </row>
    <row r="28" spans="1:21" s="143" customFormat="1" hidden="1">
      <c r="A28" s="127" t="s">
        <v>252</v>
      </c>
      <c r="B28" s="80" t="s">
        <v>101</v>
      </c>
      <c r="C28" s="140"/>
      <c r="D28" s="121"/>
      <c r="E28" s="140"/>
      <c r="F28" s="140"/>
      <c r="G28" s="140"/>
      <c r="H28" s="140"/>
      <c r="I28" s="140"/>
      <c r="J28" s="140"/>
      <c r="K28" s="121"/>
      <c r="L28" s="140"/>
      <c r="M28" s="119"/>
      <c r="N28" s="120"/>
      <c r="O28" s="68">
        <f t="shared" si="32"/>
        <v>0</v>
      </c>
      <c r="P28" s="68">
        <f t="shared" si="33"/>
        <v>0</v>
      </c>
      <c r="Q28" s="68">
        <f t="shared" si="34"/>
        <v>0</v>
      </c>
      <c r="R28" s="68">
        <f t="shared" si="35"/>
        <v>0</v>
      </c>
      <c r="S28" s="68">
        <f t="shared" si="36"/>
        <v>0</v>
      </c>
      <c r="T28" s="168"/>
      <c r="U28" s="172"/>
    </row>
    <row r="29" spans="1:21" s="143" customFormat="1" hidden="1">
      <c r="A29" s="80" t="s">
        <v>291</v>
      </c>
      <c r="B29" s="80" t="s">
        <v>101</v>
      </c>
      <c r="C29" s="121"/>
      <c r="D29" s="121"/>
      <c r="E29" s="121"/>
      <c r="F29" s="121"/>
      <c r="G29" s="121"/>
      <c r="H29" s="121"/>
      <c r="I29" s="121"/>
      <c r="J29" s="121"/>
      <c r="K29" s="121"/>
      <c r="L29" s="121"/>
      <c r="M29" s="119"/>
      <c r="N29" s="119"/>
      <c r="O29" s="68">
        <f t="shared" si="32"/>
        <v>0</v>
      </c>
      <c r="P29" s="68">
        <f t="shared" si="33"/>
        <v>0</v>
      </c>
      <c r="Q29" s="68">
        <f t="shared" si="34"/>
        <v>0</v>
      </c>
      <c r="R29" s="68">
        <f t="shared" si="35"/>
        <v>0</v>
      </c>
      <c r="S29" s="68">
        <f t="shared" si="36"/>
        <v>0</v>
      </c>
      <c r="T29" s="168"/>
      <c r="U29" s="172"/>
    </row>
    <row r="30" spans="1:21" s="143" customFormat="1" hidden="1">
      <c r="A30" s="80" t="s">
        <v>253</v>
      </c>
      <c r="B30" s="80" t="s">
        <v>101</v>
      </c>
      <c r="C30" s="121"/>
      <c r="D30" s="121"/>
      <c r="E30" s="121"/>
      <c r="F30" s="121"/>
      <c r="G30" s="121"/>
      <c r="H30" s="121"/>
      <c r="I30" s="121"/>
      <c r="J30" s="121"/>
      <c r="K30" s="121"/>
      <c r="L30" s="121"/>
      <c r="M30" s="119"/>
      <c r="N30" s="119"/>
      <c r="O30" s="68">
        <f t="shared" si="32"/>
        <v>0</v>
      </c>
      <c r="P30" s="68">
        <f t="shared" si="33"/>
        <v>0</v>
      </c>
      <c r="Q30" s="68">
        <f t="shared" si="34"/>
        <v>0</v>
      </c>
      <c r="R30" s="68">
        <f t="shared" si="35"/>
        <v>0</v>
      </c>
      <c r="S30" s="68">
        <f t="shared" si="36"/>
        <v>0</v>
      </c>
      <c r="T30" s="168"/>
      <c r="U30" s="172"/>
    </row>
    <row r="31" spans="1:21">
      <c r="A31" s="80" t="s">
        <v>275</v>
      </c>
      <c r="B31" s="80" t="s">
        <v>103</v>
      </c>
      <c r="C31" s="121">
        <v>15330</v>
      </c>
      <c r="D31" s="121">
        <v>17932</v>
      </c>
      <c r="E31" s="119">
        <v>26113</v>
      </c>
      <c r="F31" s="121">
        <v>23200</v>
      </c>
      <c r="G31" s="121">
        <v>27582</v>
      </c>
      <c r="H31" s="121">
        <v>25780</v>
      </c>
      <c r="I31" s="121">
        <v>27627</v>
      </c>
      <c r="J31" s="119">
        <v>27197</v>
      </c>
      <c r="K31" s="121">
        <v>22566</v>
      </c>
      <c r="L31" s="119">
        <v>21537</v>
      </c>
      <c r="M31" s="119">
        <v>26509</v>
      </c>
      <c r="N31" s="119">
        <v>24880</v>
      </c>
      <c r="O31" s="68">
        <f t="shared" si="32"/>
        <v>286253</v>
      </c>
      <c r="P31" s="68">
        <f t="shared" si="33"/>
        <v>59375</v>
      </c>
      <c r="Q31" s="68">
        <f t="shared" si="34"/>
        <v>76562</v>
      </c>
      <c r="R31" s="68">
        <f t="shared" si="35"/>
        <v>77390</v>
      </c>
      <c r="S31" s="68">
        <f t="shared" si="36"/>
        <v>72926</v>
      </c>
      <c r="T31" s="168"/>
    </row>
    <row r="32" spans="1:21">
      <c r="A32" s="80" t="s">
        <v>292</v>
      </c>
      <c r="B32" s="80" t="s">
        <v>103</v>
      </c>
      <c r="C32" s="121">
        <v>0</v>
      </c>
      <c r="D32" s="121">
        <v>0</v>
      </c>
      <c r="E32" s="121">
        <v>0</v>
      </c>
      <c r="F32" s="121">
        <v>0</v>
      </c>
      <c r="G32" s="121">
        <v>0</v>
      </c>
      <c r="H32" s="121">
        <v>0</v>
      </c>
      <c r="I32" s="121">
        <v>0</v>
      </c>
      <c r="J32" s="121"/>
      <c r="K32" s="121">
        <v>0</v>
      </c>
      <c r="L32" s="121">
        <v>0</v>
      </c>
      <c r="M32" s="121">
        <v>0</v>
      </c>
      <c r="N32" s="121">
        <v>0</v>
      </c>
      <c r="O32" s="68">
        <f t="shared" si="32"/>
        <v>0</v>
      </c>
      <c r="P32" s="68">
        <f t="shared" si="33"/>
        <v>0</v>
      </c>
      <c r="Q32" s="68">
        <f t="shared" si="34"/>
        <v>0</v>
      </c>
      <c r="R32" s="68">
        <f t="shared" si="35"/>
        <v>0</v>
      </c>
      <c r="S32" s="68">
        <f t="shared" si="36"/>
        <v>0</v>
      </c>
      <c r="T32" s="168"/>
    </row>
    <row r="33" spans="1:22" s="143" customFormat="1" hidden="1">
      <c r="A33" s="80" t="s">
        <v>254</v>
      </c>
      <c r="B33" s="80" t="s">
        <v>101</v>
      </c>
      <c r="C33" s="121"/>
      <c r="D33" s="121"/>
      <c r="E33" s="121"/>
      <c r="F33" s="121"/>
      <c r="G33" s="121"/>
      <c r="H33" s="121"/>
      <c r="I33" s="121"/>
      <c r="J33" s="121"/>
      <c r="K33" s="121"/>
      <c r="L33" s="121"/>
      <c r="M33" s="119"/>
      <c r="N33" s="119"/>
      <c r="O33" s="68">
        <f t="shared" si="32"/>
        <v>0</v>
      </c>
      <c r="P33" s="68">
        <f t="shared" si="33"/>
        <v>0</v>
      </c>
      <c r="Q33" s="68">
        <f t="shared" si="34"/>
        <v>0</v>
      </c>
      <c r="R33" s="68">
        <f t="shared" si="35"/>
        <v>0</v>
      </c>
      <c r="S33" s="68">
        <f t="shared" si="36"/>
        <v>0</v>
      </c>
      <c r="T33" s="168"/>
      <c r="U33" s="172"/>
    </row>
    <row r="34" spans="1:22" s="143" customFormat="1">
      <c r="A34" s="121" t="s">
        <v>421</v>
      </c>
      <c r="B34" s="80" t="s">
        <v>101</v>
      </c>
      <c r="C34" s="108">
        <v>2.4460000000000002</v>
      </c>
      <c r="D34" s="108">
        <f>18544/1000</f>
        <v>18.544</v>
      </c>
      <c r="E34" s="161">
        <f>29067/1000</f>
        <v>29.067</v>
      </c>
      <c r="F34" s="161">
        <f>22056/1000+9.88</f>
        <v>31.936</v>
      </c>
      <c r="G34" s="161">
        <f>27452/1000</f>
        <v>27.452000000000002</v>
      </c>
      <c r="H34" s="161">
        <f>10810/1000+212.176</f>
        <v>222.98599999999999</v>
      </c>
      <c r="I34" s="161">
        <f>9030/1000+336.6</f>
        <v>345.63</v>
      </c>
      <c r="J34" s="161">
        <f>25270/1000+555095/1000</f>
        <v>580.36500000000001</v>
      </c>
      <c r="K34" s="161">
        <f>37960/1000+433.165</f>
        <v>471.125</v>
      </c>
      <c r="L34" s="162">
        <f>27.94+280.4</f>
        <v>308.33999999999997</v>
      </c>
      <c r="M34" s="162">
        <f>34.666+27.72+77596/1000</f>
        <v>139.982</v>
      </c>
      <c r="N34" s="207">
        <f>15882/1000</f>
        <v>15.882</v>
      </c>
      <c r="O34" s="68">
        <f t="shared" si="32"/>
        <v>2193.7550000000001</v>
      </c>
      <c r="P34" s="68">
        <f t="shared" si="33"/>
        <v>50.057000000000002</v>
      </c>
      <c r="Q34" s="68">
        <f t="shared" si="34"/>
        <v>282.37400000000002</v>
      </c>
      <c r="R34" s="68">
        <f t="shared" si="35"/>
        <v>1397.12</v>
      </c>
      <c r="S34" s="68">
        <f t="shared" si="36"/>
        <v>464.20400000000001</v>
      </c>
      <c r="T34" s="168"/>
      <c r="U34" s="172"/>
    </row>
    <row r="35" spans="1:22" s="143" customFormat="1">
      <c r="A35" s="121" t="s">
        <v>348</v>
      </c>
      <c r="B35" s="80" t="s">
        <v>101</v>
      </c>
      <c r="C35" s="121">
        <v>0</v>
      </c>
      <c r="D35" s="121">
        <v>0</v>
      </c>
      <c r="E35" s="121">
        <v>0</v>
      </c>
      <c r="F35" s="121">
        <v>0</v>
      </c>
      <c r="G35" s="121">
        <v>0</v>
      </c>
      <c r="H35" s="121">
        <v>0</v>
      </c>
      <c r="I35" s="121">
        <v>0</v>
      </c>
      <c r="J35" s="121">
        <v>0</v>
      </c>
      <c r="K35" s="121">
        <v>0</v>
      </c>
      <c r="L35" s="121">
        <v>0</v>
      </c>
      <c r="M35" s="119">
        <v>0</v>
      </c>
      <c r="N35" s="119">
        <v>0</v>
      </c>
      <c r="O35" s="68">
        <f>SUM(C35:N35)</f>
        <v>0</v>
      </c>
      <c r="P35" s="68">
        <f t="shared" si="33"/>
        <v>0</v>
      </c>
      <c r="Q35" s="68">
        <f t="shared" si="34"/>
        <v>0</v>
      </c>
      <c r="R35" s="68">
        <f t="shared" si="35"/>
        <v>0</v>
      </c>
      <c r="S35" s="68">
        <f t="shared" si="36"/>
        <v>0</v>
      </c>
      <c r="T35" s="168"/>
      <c r="U35" s="172"/>
    </row>
    <row r="36" spans="1:22" s="154" customFormat="1">
      <c r="A36" s="124" t="s">
        <v>361</v>
      </c>
      <c r="B36" s="124" t="s">
        <v>101</v>
      </c>
      <c r="C36" s="153">
        <f>SUM(C34:C35)</f>
        <v>2.4460000000000002</v>
      </c>
      <c r="D36" s="153">
        <f>SUM(D34:D35)</f>
        <v>18.544</v>
      </c>
      <c r="E36" s="163">
        <f t="shared" ref="E36:S36" si="37">SUM(E34:E35)</f>
        <v>29.067</v>
      </c>
      <c r="F36" s="163">
        <f t="shared" si="37"/>
        <v>31.936</v>
      </c>
      <c r="G36" s="163">
        <f t="shared" si="37"/>
        <v>27.452000000000002</v>
      </c>
      <c r="H36" s="163">
        <f t="shared" si="37"/>
        <v>222.98599999999999</v>
      </c>
      <c r="I36" s="163">
        <f t="shared" si="37"/>
        <v>345.63</v>
      </c>
      <c r="J36" s="163">
        <f t="shared" si="37"/>
        <v>580.36500000000001</v>
      </c>
      <c r="K36" s="163">
        <f t="shared" si="37"/>
        <v>471.125</v>
      </c>
      <c r="L36" s="163">
        <f t="shared" si="37"/>
        <v>308.33999999999997</v>
      </c>
      <c r="M36" s="163">
        <f t="shared" si="37"/>
        <v>139.982</v>
      </c>
      <c r="N36" s="153">
        <f t="shared" si="37"/>
        <v>15.882</v>
      </c>
      <c r="O36" s="153">
        <f>SUM(O34:O35)</f>
        <v>2193.7550000000001</v>
      </c>
      <c r="P36" s="153">
        <f t="shared" si="37"/>
        <v>50.057000000000002</v>
      </c>
      <c r="Q36" s="153">
        <f t="shared" si="37"/>
        <v>282.37400000000002</v>
      </c>
      <c r="R36" s="153">
        <f t="shared" si="37"/>
        <v>1397.12</v>
      </c>
      <c r="S36" s="153">
        <f t="shared" si="37"/>
        <v>464.20400000000001</v>
      </c>
      <c r="T36" s="171"/>
      <c r="U36" s="172"/>
    </row>
    <row r="37" spans="1:22" s="143" customFormat="1">
      <c r="A37" s="121" t="s">
        <v>349</v>
      </c>
      <c r="B37" s="80" t="s">
        <v>333</v>
      </c>
      <c r="C37" s="121">
        <v>3000</v>
      </c>
      <c r="D37" s="121">
        <v>3000</v>
      </c>
      <c r="E37" s="121">
        <v>3000</v>
      </c>
      <c r="F37" s="121">
        <v>3000</v>
      </c>
      <c r="G37" s="121">
        <v>3000</v>
      </c>
      <c r="H37" s="121">
        <v>3000</v>
      </c>
      <c r="I37" s="121">
        <v>3000</v>
      </c>
      <c r="J37" s="121">
        <v>3000</v>
      </c>
      <c r="K37" s="121">
        <v>3000</v>
      </c>
      <c r="L37" s="121">
        <v>3000</v>
      </c>
      <c r="M37" s="121">
        <v>3000</v>
      </c>
      <c r="N37" s="121">
        <v>3000</v>
      </c>
      <c r="O37" s="68">
        <f>IF(O36=0,"0",(SUMPRODUCT(C36:N36,C37:N37)/O36))</f>
        <v>3000</v>
      </c>
      <c r="P37" s="68">
        <f>IF(P36=0,"0",(SUMPRODUCT(C36:E36,C37:E37)/P36))</f>
        <v>3000</v>
      </c>
      <c r="Q37" s="68">
        <f>IF(Q36=0,"0",(SUMPRODUCT(F36:H36,F37:H37)/Q36))</f>
        <v>2999.9999999999995</v>
      </c>
      <c r="R37" s="68">
        <f>IF(R36=0,"0",(SUMPRODUCT(I36:K36,I37:K37)/R36))</f>
        <v>3000.0000000000005</v>
      </c>
      <c r="S37" s="68">
        <f>IF(S36=0,"0",(SUMPRODUCT(L36:N36,L37:N37)/S36))</f>
        <v>3000</v>
      </c>
      <c r="T37" s="168"/>
      <c r="U37" s="172"/>
    </row>
    <row r="38" spans="1:22">
      <c r="A38" s="121" t="s">
        <v>320</v>
      </c>
      <c r="B38" s="80" t="s">
        <v>100</v>
      </c>
      <c r="C38" s="121">
        <v>1214.6904</v>
      </c>
      <c r="D38" s="121">
        <f>885068.799999999/1000</f>
        <v>885.06879999999899</v>
      </c>
      <c r="E38" s="121">
        <f>2076956.8/1000</f>
        <v>2076.9567999999999</v>
      </c>
      <c r="F38" s="121">
        <f>1968709.6/1000</f>
        <v>1968.7096000000001</v>
      </c>
      <c r="G38" s="121">
        <f>2088979.2/1000</f>
        <v>2088.9791999999998</v>
      </c>
      <c r="H38" s="121">
        <f>2154046.4/1000</f>
        <v>2154.0463999999997</v>
      </c>
      <c r="I38" s="121">
        <f>2334833.6/1000</f>
        <v>2334.8335999999999</v>
      </c>
      <c r="J38" s="119">
        <f>2015340/1000</f>
        <v>2015.34</v>
      </c>
      <c r="K38" s="121">
        <f>1630340.8/1000</f>
        <v>1630.3407999999999</v>
      </c>
      <c r="L38" s="121">
        <f>1631502.4/1000</f>
        <v>1631.5023999999999</v>
      </c>
      <c r="M38" s="121">
        <f>1569298.8/1000</f>
        <v>1569.2988</v>
      </c>
      <c r="N38" s="121">
        <f>1836991.2/1000</f>
        <v>1836.9911999999999</v>
      </c>
      <c r="O38" s="68">
        <f t="shared" ref="O38" si="38">SUM(C38:N38)</f>
        <v>21406.757999999998</v>
      </c>
      <c r="P38" s="68">
        <f t="shared" ref="P38:P39" si="39">SUM(C38:E38)</f>
        <v>4176.7159999999985</v>
      </c>
      <c r="Q38" s="68">
        <f t="shared" ref="Q38:Q39" si="40">SUM(F38:H38)</f>
        <v>6211.7351999999992</v>
      </c>
      <c r="R38" s="68">
        <f t="shared" ref="R38:R39" si="41">SUM(I38:K38)</f>
        <v>5980.5144</v>
      </c>
      <c r="S38" s="68">
        <f t="shared" ref="S38:S39" si="42">SUM(L38:N38)</f>
        <v>5037.7924000000003</v>
      </c>
      <c r="T38" s="168"/>
    </row>
    <row r="39" spans="1:22">
      <c r="A39" s="121" t="s">
        <v>319</v>
      </c>
      <c r="B39" s="80" t="s">
        <v>100</v>
      </c>
      <c r="C39" s="121">
        <v>0</v>
      </c>
      <c r="D39" s="121">
        <v>0</v>
      </c>
      <c r="E39" s="161">
        <v>0</v>
      </c>
      <c r="F39" s="161">
        <v>0</v>
      </c>
      <c r="G39" s="161">
        <v>0</v>
      </c>
      <c r="H39" s="161">
        <v>0</v>
      </c>
      <c r="I39" s="161">
        <v>0</v>
      </c>
      <c r="J39" s="161">
        <v>0</v>
      </c>
      <c r="K39" s="161">
        <v>0</v>
      </c>
      <c r="L39" s="161">
        <v>0</v>
      </c>
      <c r="M39" s="161">
        <v>0</v>
      </c>
      <c r="N39" s="161">
        <v>10.591685</v>
      </c>
      <c r="O39" s="68">
        <f>SUM(C39:N39)</f>
        <v>10.591685</v>
      </c>
      <c r="P39" s="68">
        <f t="shared" si="39"/>
        <v>0</v>
      </c>
      <c r="Q39" s="68">
        <f t="shared" si="40"/>
        <v>0</v>
      </c>
      <c r="R39" s="68">
        <f t="shared" si="41"/>
        <v>0</v>
      </c>
      <c r="S39" s="68">
        <f t="shared" si="42"/>
        <v>10.591685</v>
      </c>
      <c r="T39" s="168"/>
    </row>
    <row r="40" spans="1:22" s="145" customFormat="1">
      <c r="A40" s="124" t="s">
        <v>362</v>
      </c>
      <c r="B40" s="124" t="s">
        <v>100</v>
      </c>
      <c r="C40" s="153">
        <f t="shared" ref="C40:S40" si="43">SUM(C38:C39)</f>
        <v>1214.6904</v>
      </c>
      <c r="D40" s="153">
        <f t="shared" si="43"/>
        <v>885.06879999999899</v>
      </c>
      <c r="E40" s="153">
        <f t="shared" si="43"/>
        <v>2076.9567999999999</v>
      </c>
      <c r="F40" s="153">
        <f t="shared" si="43"/>
        <v>1968.7096000000001</v>
      </c>
      <c r="G40" s="153">
        <f t="shared" si="43"/>
        <v>2088.9791999999998</v>
      </c>
      <c r="H40" s="153">
        <f t="shared" si="43"/>
        <v>2154.0463999999997</v>
      </c>
      <c r="I40" s="153">
        <f t="shared" si="43"/>
        <v>2334.8335999999999</v>
      </c>
      <c r="J40" s="153">
        <f t="shared" si="43"/>
        <v>2015.34</v>
      </c>
      <c r="K40" s="153">
        <f t="shared" si="43"/>
        <v>1630.3407999999999</v>
      </c>
      <c r="L40" s="153">
        <f t="shared" si="43"/>
        <v>1631.5023999999999</v>
      </c>
      <c r="M40" s="153">
        <f t="shared" si="43"/>
        <v>1569.2988</v>
      </c>
      <c r="N40" s="153">
        <f t="shared" si="43"/>
        <v>1847.582885</v>
      </c>
      <c r="O40" s="153">
        <f t="shared" si="43"/>
        <v>21417.349684999997</v>
      </c>
      <c r="P40" s="153">
        <f t="shared" si="43"/>
        <v>4176.7159999999985</v>
      </c>
      <c r="Q40" s="153">
        <f t="shared" si="43"/>
        <v>6211.7351999999992</v>
      </c>
      <c r="R40" s="153">
        <f t="shared" si="43"/>
        <v>5980.5144</v>
      </c>
      <c r="S40" s="153">
        <f t="shared" si="43"/>
        <v>5048.3840850000006</v>
      </c>
      <c r="T40" s="171"/>
      <c r="U40" s="157"/>
    </row>
    <row r="41" spans="1:22" s="143" customFormat="1" hidden="1">
      <c r="A41" s="144" t="s">
        <v>255</v>
      </c>
      <c r="B41" s="144" t="s">
        <v>100</v>
      </c>
      <c r="C41" s="119"/>
      <c r="D41" s="119"/>
      <c r="E41" s="119"/>
      <c r="F41" s="119"/>
      <c r="G41" s="119"/>
      <c r="H41" s="119"/>
      <c r="I41" s="119"/>
      <c r="J41" s="119"/>
      <c r="K41" s="119"/>
      <c r="L41" s="119"/>
      <c r="M41" s="119"/>
      <c r="N41" s="119"/>
      <c r="O41" s="153">
        <f t="shared" ref="O41:S41" si="44">SUM(O39:O40)</f>
        <v>21427.941369999997</v>
      </c>
      <c r="P41" s="153">
        <f t="shared" si="44"/>
        <v>4176.7159999999985</v>
      </c>
      <c r="Q41" s="153">
        <f t="shared" si="44"/>
        <v>6211.7351999999992</v>
      </c>
      <c r="R41" s="153">
        <f t="shared" si="44"/>
        <v>5980.5144</v>
      </c>
      <c r="S41" s="153">
        <f t="shared" si="44"/>
        <v>5058.9757700000009</v>
      </c>
      <c r="T41" s="168"/>
      <c r="U41" s="172"/>
    </row>
    <row r="42" spans="1:22" s="143" customFormat="1" hidden="1">
      <c r="A42" s="144" t="s">
        <v>256</v>
      </c>
      <c r="B42" s="144" t="s">
        <v>100</v>
      </c>
      <c r="C42" s="119"/>
      <c r="D42" s="119"/>
      <c r="E42" s="119"/>
      <c r="F42" s="119"/>
      <c r="G42" s="119"/>
      <c r="H42" s="119"/>
      <c r="I42" s="119"/>
      <c r="J42" s="119"/>
      <c r="K42" s="119"/>
      <c r="L42" s="119"/>
      <c r="M42" s="119"/>
      <c r="N42" s="119"/>
      <c r="O42" s="153">
        <f t="shared" ref="O42:S42" si="45">SUM(O40:O41)</f>
        <v>42845.291054999994</v>
      </c>
      <c r="P42" s="153">
        <f t="shared" si="45"/>
        <v>8353.4319999999971</v>
      </c>
      <c r="Q42" s="153">
        <f t="shared" si="45"/>
        <v>12423.470399999998</v>
      </c>
      <c r="R42" s="153">
        <f t="shared" si="45"/>
        <v>11961.0288</v>
      </c>
      <c r="S42" s="153">
        <f t="shared" si="45"/>
        <v>10107.359855000002</v>
      </c>
      <c r="T42" s="168"/>
      <c r="U42" s="172"/>
    </row>
    <row r="43" spans="1:22">
      <c r="A43" s="130" t="s">
        <v>336</v>
      </c>
      <c r="B43" s="68" t="s">
        <v>98</v>
      </c>
      <c r="C43" s="68">
        <f>(C3*C18*(4186/1000000))+(C4*C19*(4186/1000000))+(C5*C20*(4186/1000000))+(C6*C21*(4186/1000000)+(C26*$C$101)+(C27*$C$102)+(C28*$C$103)+(C29*$C$104)+(C30*$C$107)+(C31*$C$107)+(C32*$C$109)+(C33*$C$110)+(C34*C37*(4186/1000000))+(C69*$C$107))</f>
        <v>52581.9498742</v>
      </c>
      <c r="D43" s="68">
        <f t="shared" ref="D43:N43" si="46">(D3*D18*(4186/1000000))+(D4*D19*(4186/1000000))+(D5*D20*(4186/1000000))+(D6*D21*(4186/1000000)+(D26*$C$101)+(D27*$C$102)+(D28*$C$103)+(D29*$C$104)+(D30*$C$107)+(D31*$C$107)+(D32*$C$109)+(D33*$C$110)+(D34*D37*(4186/1000000))+(D69*$C$107))</f>
        <v>41854.527687599999</v>
      </c>
      <c r="E43" s="68">
        <f t="shared" si="46"/>
        <v>104768.71200359998</v>
      </c>
      <c r="F43" s="68">
        <f t="shared" si="46"/>
        <v>93770.40230207998</v>
      </c>
      <c r="G43" s="68">
        <f t="shared" si="46"/>
        <v>93520.732033639986</v>
      </c>
      <c r="H43" s="68">
        <f t="shared" si="46"/>
        <v>94035.573720639979</v>
      </c>
      <c r="I43" s="68">
        <f t="shared" si="46"/>
        <v>106947.95459608</v>
      </c>
      <c r="J43" s="68">
        <f t="shared" si="46"/>
        <v>97251.638713559994</v>
      </c>
      <c r="K43" s="68">
        <f t="shared" si="46"/>
        <v>74339.508643520006</v>
      </c>
      <c r="L43" s="68">
        <f t="shared" si="46"/>
        <v>76169.738845799991</v>
      </c>
      <c r="M43" s="68">
        <f t="shared" si="46"/>
        <v>69008.513342399994</v>
      </c>
      <c r="N43" s="68">
        <f t="shared" si="46"/>
        <v>91436.410692520003</v>
      </c>
      <c r="O43" s="155">
        <f t="shared" ref="O43:O45" si="47">SUM(C43:N43)</f>
        <v>995685.66245563992</v>
      </c>
      <c r="P43" s="155">
        <f t="shared" ref="P43:P45" si="48">SUM(C43:E43)</f>
        <v>199205.18956539998</v>
      </c>
      <c r="Q43" s="155">
        <f t="shared" ref="Q43:Q45" si="49">SUM(F43:H43)</f>
        <v>281326.70805635996</v>
      </c>
      <c r="R43" s="155">
        <f t="shared" ref="R43:R45" si="50">SUM(I43:K43)</f>
        <v>278539.10195316002</v>
      </c>
      <c r="S43" s="155">
        <f t="shared" ref="S43:S45" si="51">SUM(L43:N43)</f>
        <v>236614.66288071999</v>
      </c>
      <c r="T43" s="168"/>
    </row>
    <row r="44" spans="1:22">
      <c r="A44" s="130" t="s">
        <v>337</v>
      </c>
      <c r="B44" s="68" t="s">
        <v>98</v>
      </c>
      <c r="C44" s="68">
        <f>(C7*C18)+(C8*C19)+(C9*C20)+(C10*C21)+(C35*C37*(4186/1000000))</f>
        <v>0</v>
      </c>
      <c r="D44" s="68">
        <f t="shared" ref="D44:N44" si="52">(D7*D18)+(D8*D19)+(D9*D20)+(D10*D21)+(D35*D37*(4186/1000000))</f>
        <v>0</v>
      </c>
      <c r="E44" s="68">
        <f t="shared" si="52"/>
        <v>0</v>
      </c>
      <c r="F44" s="68">
        <f t="shared" si="52"/>
        <v>0</v>
      </c>
      <c r="G44" s="68">
        <f t="shared" si="52"/>
        <v>0</v>
      </c>
      <c r="H44" s="68">
        <f t="shared" si="52"/>
        <v>0</v>
      </c>
      <c r="I44" s="68">
        <f t="shared" si="52"/>
        <v>0</v>
      </c>
      <c r="J44" s="68">
        <f t="shared" si="52"/>
        <v>0</v>
      </c>
      <c r="K44" s="68">
        <f t="shared" si="52"/>
        <v>0</v>
      </c>
      <c r="L44" s="68">
        <f t="shared" si="52"/>
        <v>0</v>
      </c>
      <c r="M44" s="68">
        <f t="shared" si="52"/>
        <v>0</v>
      </c>
      <c r="N44" s="68">
        <f t="shared" si="52"/>
        <v>159661.60169440001</v>
      </c>
      <c r="O44" s="155">
        <f t="shared" si="47"/>
        <v>159661.60169440001</v>
      </c>
      <c r="P44" s="155">
        <f t="shared" si="48"/>
        <v>0</v>
      </c>
      <c r="Q44" s="155">
        <f t="shared" si="49"/>
        <v>0</v>
      </c>
      <c r="R44" s="155">
        <f t="shared" si="50"/>
        <v>0</v>
      </c>
      <c r="S44" s="155">
        <f t="shared" si="51"/>
        <v>159661.60169440001</v>
      </c>
      <c r="T44" s="168"/>
    </row>
    <row r="45" spans="1:22" s="145" customFormat="1">
      <c r="A45" s="202" t="s">
        <v>363</v>
      </c>
      <c r="B45" s="203" t="s">
        <v>98</v>
      </c>
      <c r="C45" s="203">
        <f>(C11*C18*(4186/1000000))+(C12*C19*(4186/1000000))+(C13*C20*(4186/1000000))+(C14*C21*(4186/1000000))+(C26*$C$101)+(C27*$C$102)+(C28*$C$103)+(C29*$C$104)+(C30*$C$107)+(C31*$C$107)+(C32*$C$109)+(C33*$C$110)+(C36*C37*(4186/1000000))+(C69*$C$107)</f>
        <v>52581.9498742</v>
      </c>
      <c r="D45" s="203">
        <f t="shared" ref="D45:N45" si="53">(D11*D18*(4186/1000000))+(D12*D19*(4186/1000000))+(D13*D20*(4186/1000000))+(D14*D21*(4186/1000000))+(D26*$C$101)+(D27*$C$102)+(D28*$C$103)+(D29*$C$104)+(D30*$C$107)+(D31*$C$107)+(D32*$C$109)+(D33*$C$110)+(D36*D37*(4186/1000000))+(D69*$C$107)</f>
        <v>41854.527687599999</v>
      </c>
      <c r="E45" s="203">
        <f t="shared" si="53"/>
        <v>104768.71200359998</v>
      </c>
      <c r="F45" s="203">
        <f>(F11*F18*(4186/1000000))+(F12*F19*(4186/1000000))+(F13*F20*(4186/1000000))+(F14*F21*(4186/1000000))+(F26*$C$101)+(F27*$C$102)+(F28*$C$103)+(F29*$C$104)+(F30*$C$107)+(F31*$C$107)+(F32*$C$109)+(F33*$C$110)+(F36*F37*(4186/1000000))+(F69*$C$107)</f>
        <v>93770.402302079994</v>
      </c>
      <c r="G45" s="203">
        <f t="shared" si="53"/>
        <v>93520.732033639986</v>
      </c>
      <c r="H45" s="203">
        <f t="shared" si="53"/>
        <v>94035.573720639979</v>
      </c>
      <c r="I45" s="203">
        <f t="shared" si="53"/>
        <v>106947.95459608</v>
      </c>
      <c r="J45" s="203">
        <f t="shared" si="53"/>
        <v>97251.63871355998</v>
      </c>
      <c r="K45" s="203">
        <f t="shared" si="53"/>
        <v>74339.508643519992</v>
      </c>
      <c r="L45" s="203">
        <f t="shared" si="53"/>
        <v>76169.738845799991</v>
      </c>
      <c r="M45" s="203">
        <f t="shared" si="53"/>
        <v>69008.513342399994</v>
      </c>
      <c r="N45" s="203">
        <f t="shared" si="53"/>
        <v>92104.754157212767</v>
      </c>
      <c r="O45" s="202">
        <f t="shared" si="47"/>
        <v>996354.00592033251</v>
      </c>
      <c r="P45" s="202">
        <f t="shared" si="48"/>
        <v>199205.18956539998</v>
      </c>
      <c r="Q45" s="202">
        <f t="shared" si="49"/>
        <v>281326.70805635996</v>
      </c>
      <c r="R45" s="202">
        <f t="shared" si="50"/>
        <v>278539.10195315996</v>
      </c>
      <c r="S45" s="202">
        <f t="shared" si="51"/>
        <v>237283.00634541275</v>
      </c>
      <c r="T45" s="173" t="s">
        <v>407</v>
      </c>
      <c r="U45" s="174">
        <f>O45/'Production, Raw Mat'!$O$5</f>
        <v>5.8777822825876997</v>
      </c>
      <c r="V45" s="132" t="s">
        <v>120</v>
      </c>
    </row>
    <row r="46" spans="1:22" s="145" customFormat="1" ht="12" customHeight="1">
      <c r="A46" s="130" t="s">
        <v>366</v>
      </c>
      <c r="B46" s="68" t="s">
        <v>98</v>
      </c>
      <c r="C46" s="146">
        <f>(C23*(4186/1000000))+(C26*$C$101)+(C27*$C$102)+(C28*$C$103)+(C29*$C$104)+(C30*$C$107)+(C31*$C$107)+(C32*$C$109)+(C33*$C$110)+(C69*$C$107)</f>
        <v>39261.565003332224</v>
      </c>
      <c r="D46" s="146">
        <f t="shared" ref="D46:N46" si="54">(D23*(4186/1000000))+(D26*$C$101)+(D27*$C$102)+(D28*$C$103)+(D29*$C$104)+(D30*$C$107)+(D31*$C$107)+(D32*$C$109)+(D33*$C$110)+(D69*$C$107)</f>
        <v>21292.491416251334</v>
      </c>
      <c r="E46" s="146">
        <f t="shared" si="54"/>
        <v>77478.685785252223</v>
      </c>
      <c r="F46" s="146">
        <f t="shared" si="54"/>
        <v>69981.078350687589</v>
      </c>
      <c r="G46" s="146">
        <f t="shared" si="54"/>
        <v>67475.856576607592</v>
      </c>
      <c r="H46" s="146">
        <f t="shared" si="54"/>
        <v>68456.977950651577</v>
      </c>
      <c r="I46" s="146">
        <f t="shared" si="54"/>
        <v>77227.275163957107</v>
      </c>
      <c r="J46" s="146">
        <f t="shared" si="54"/>
        <v>68659.87884409276</v>
      </c>
      <c r="K46" s="146">
        <f t="shared" si="54"/>
        <v>55197.945647202789</v>
      </c>
      <c r="L46" s="146">
        <f t="shared" si="54"/>
        <v>52250.060808573398</v>
      </c>
      <c r="M46" s="146">
        <f t="shared" si="54"/>
        <v>53659.743930407756</v>
      </c>
      <c r="N46" s="146">
        <f t="shared" si="54"/>
        <v>64594.115404616939</v>
      </c>
      <c r="O46" s="146">
        <f t="shared" ref="O46:O54" si="55">SUM(C46:N46)</f>
        <v>715535.67488163325</v>
      </c>
      <c r="P46" s="146">
        <f t="shared" ref="P46:P54" si="56">SUM(C46:E46)</f>
        <v>138032.74220483578</v>
      </c>
      <c r="Q46" s="146">
        <f t="shared" ref="Q46:Q54" si="57">SUM(F46:H46)</f>
        <v>205913.91287794677</v>
      </c>
      <c r="R46" s="146">
        <f t="shared" ref="R46:R54" si="58">SUM(I46:K46)</f>
        <v>201085.09965525265</v>
      </c>
      <c r="S46" s="146">
        <f t="shared" ref="S46:S54" si="59">SUM(L46:N46)</f>
        <v>170503.92014359811</v>
      </c>
      <c r="T46" s="168"/>
      <c r="U46" s="157"/>
    </row>
    <row r="47" spans="1:22" s="145" customFormat="1" ht="12" customHeight="1">
      <c r="A47" s="130" t="s">
        <v>367</v>
      </c>
      <c r="B47" s="68" t="s">
        <v>98</v>
      </c>
      <c r="C47" s="146">
        <f t="shared" ref="C47:N47" si="60">(C24*(4186/1000000))</f>
        <v>0</v>
      </c>
      <c r="D47" s="146">
        <f t="shared" si="60"/>
        <v>0</v>
      </c>
      <c r="E47" s="146">
        <f t="shared" si="60"/>
        <v>0</v>
      </c>
      <c r="F47" s="146">
        <f t="shared" si="60"/>
        <v>0</v>
      </c>
      <c r="G47" s="146">
        <f t="shared" si="60"/>
        <v>0</v>
      </c>
      <c r="H47" s="146">
        <f t="shared" si="60"/>
        <v>0</v>
      </c>
      <c r="I47" s="146">
        <f t="shared" si="60"/>
        <v>0</v>
      </c>
      <c r="J47" s="146">
        <f t="shared" si="60"/>
        <v>0</v>
      </c>
      <c r="K47" s="146">
        <f t="shared" si="60"/>
        <v>0</v>
      </c>
      <c r="L47" s="146">
        <f t="shared" si="60"/>
        <v>0</v>
      </c>
      <c r="M47" s="146">
        <f t="shared" si="60"/>
        <v>0</v>
      </c>
      <c r="N47" s="146">
        <f t="shared" si="60"/>
        <v>0</v>
      </c>
      <c r="O47" s="146">
        <f t="shared" si="55"/>
        <v>0</v>
      </c>
      <c r="P47" s="146">
        <f t="shared" si="56"/>
        <v>0</v>
      </c>
      <c r="Q47" s="146">
        <f t="shared" si="57"/>
        <v>0</v>
      </c>
      <c r="R47" s="146">
        <f t="shared" si="58"/>
        <v>0</v>
      </c>
      <c r="S47" s="146">
        <f t="shared" si="59"/>
        <v>0</v>
      </c>
      <c r="T47" s="168"/>
      <c r="U47" s="157"/>
    </row>
    <row r="48" spans="1:22" s="145" customFormat="1" ht="12" customHeight="1">
      <c r="A48" s="153" t="s">
        <v>368</v>
      </c>
      <c r="B48" s="124" t="s">
        <v>98</v>
      </c>
      <c r="C48" s="124">
        <f t="shared" ref="C48:N48" si="61">(C25*(4186/1000000))+(C26*$C$101)+(C27*$C$102)+(C28*$C$103)+(C29*$C$104)+(C30*$C$107)+(C31*$C$107)+(C32*$C$109)+(C33*$C$110)+(C69*$C$107)</f>
        <v>39261.565003332224</v>
      </c>
      <c r="D48" s="124">
        <f t="shared" si="61"/>
        <v>21292.491416251334</v>
      </c>
      <c r="E48" s="124">
        <f t="shared" si="61"/>
        <v>77478.685785252223</v>
      </c>
      <c r="F48" s="124">
        <f t="shared" si="61"/>
        <v>69981.078350687589</v>
      </c>
      <c r="G48" s="124">
        <f t="shared" si="61"/>
        <v>67475.856576607592</v>
      </c>
      <c r="H48" s="124">
        <f t="shared" si="61"/>
        <v>68456.977950651577</v>
      </c>
      <c r="I48" s="124">
        <f t="shared" si="61"/>
        <v>77227.275163957107</v>
      </c>
      <c r="J48" s="124">
        <f t="shared" si="61"/>
        <v>68659.87884409276</v>
      </c>
      <c r="K48" s="124">
        <f t="shared" si="61"/>
        <v>55197.945647202789</v>
      </c>
      <c r="L48" s="124">
        <f t="shared" si="61"/>
        <v>52250.060808573398</v>
      </c>
      <c r="M48" s="124">
        <f t="shared" si="61"/>
        <v>53659.743930407756</v>
      </c>
      <c r="N48" s="124">
        <f t="shared" si="61"/>
        <v>64594.115404616939</v>
      </c>
      <c r="O48" s="124">
        <f t="shared" si="55"/>
        <v>715535.67488163325</v>
      </c>
      <c r="P48" s="124">
        <f t="shared" si="56"/>
        <v>138032.74220483578</v>
      </c>
      <c r="Q48" s="124">
        <f t="shared" si="57"/>
        <v>205913.91287794677</v>
      </c>
      <c r="R48" s="124">
        <f t="shared" si="58"/>
        <v>201085.09965525265</v>
      </c>
      <c r="S48" s="124">
        <f t="shared" si="59"/>
        <v>170503.92014359811</v>
      </c>
      <c r="T48" s="168"/>
      <c r="U48" s="174"/>
    </row>
    <row r="49" spans="1:22">
      <c r="A49" s="68" t="s">
        <v>322</v>
      </c>
      <c r="B49" s="68" t="s">
        <v>98</v>
      </c>
      <c r="C49" s="68">
        <f t="shared" ref="C49:N49" si="62">(C38*$C$112)+(C41*$C$113)+(C42*$C$114)</f>
        <v>4372.88544</v>
      </c>
      <c r="D49" s="68">
        <f t="shared" si="62"/>
        <v>3186.2476799999963</v>
      </c>
      <c r="E49" s="68">
        <f t="shared" si="62"/>
        <v>7477.0444799999996</v>
      </c>
      <c r="F49" s="68">
        <f t="shared" si="62"/>
        <v>7087.3545600000007</v>
      </c>
      <c r="G49" s="68">
        <f t="shared" si="62"/>
        <v>7520.3251199999995</v>
      </c>
      <c r="H49" s="68">
        <f t="shared" si="62"/>
        <v>7754.567039999999</v>
      </c>
      <c r="I49" s="68">
        <f t="shared" si="62"/>
        <v>8405.4009600000009</v>
      </c>
      <c r="J49" s="68">
        <f t="shared" si="62"/>
        <v>7255.2240000000002</v>
      </c>
      <c r="K49" s="68">
        <f t="shared" si="62"/>
        <v>5869.2268800000002</v>
      </c>
      <c r="L49" s="68">
        <f t="shared" si="62"/>
        <v>5873.4086399999997</v>
      </c>
      <c r="M49" s="68">
        <f t="shared" si="62"/>
        <v>5649.4756800000005</v>
      </c>
      <c r="N49" s="68">
        <f t="shared" si="62"/>
        <v>6613.1683199999998</v>
      </c>
      <c r="O49" s="68">
        <f t="shared" si="55"/>
        <v>77064.328800000003</v>
      </c>
      <c r="P49" s="68">
        <f t="shared" si="56"/>
        <v>15036.177599999995</v>
      </c>
      <c r="Q49" s="68">
        <f t="shared" si="57"/>
        <v>22362.246719999999</v>
      </c>
      <c r="R49" s="68">
        <f t="shared" si="58"/>
        <v>21529.851840000003</v>
      </c>
      <c r="S49" s="68">
        <f t="shared" si="59"/>
        <v>18136.052640000002</v>
      </c>
      <c r="T49" s="168"/>
    </row>
    <row r="50" spans="1:22">
      <c r="A50" s="68" t="s">
        <v>321</v>
      </c>
      <c r="B50" s="68" t="s">
        <v>98</v>
      </c>
      <c r="C50" s="78">
        <f t="shared" ref="C50:N50" si="63">(C39*$C$112)</f>
        <v>0</v>
      </c>
      <c r="D50" s="78">
        <f t="shared" si="63"/>
        <v>0</v>
      </c>
      <c r="E50" s="78">
        <f t="shared" si="63"/>
        <v>0</v>
      </c>
      <c r="F50" s="78">
        <f t="shared" si="63"/>
        <v>0</v>
      </c>
      <c r="G50" s="78">
        <f t="shared" si="63"/>
        <v>0</v>
      </c>
      <c r="H50" s="78">
        <f t="shared" si="63"/>
        <v>0</v>
      </c>
      <c r="I50" s="78">
        <f t="shared" si="63"/>
        <v>0</v>
      </c>
      <c r="J50" s="78">
        <f t="shared" si="63"/>
        <v>0</v>
      </c>
      <c r="K50" s="78">
        <f t="shared" si="63"/>
        <v>0</v>
      </c>
      <c r="L50" s="78">
        <f t="shared" si="63"/>
        <v>0</v>
      </c>
      <c r="M50" s="78">
        <f t="shared" si="63"/>
        <v>0</v>
      </c>
      <c r="N50" s="78">
        <f t="shared" si="63"/>
        <v>38.130065999999999</v>
      </c>
      <c r="O50" s="78">
        <f t="shared" si="55"/>
        <v>38.130065999999999</v>
      </c>
      <c r="P50" s="78">
        <f t="shared" si="56"/>
        <v>0</v>
      </c>
      <c r="Q50" s="78">
        <f t="shared" si="57"/>
        <v>0</v>
      </c>
      <c r="R50" s="78">
        <f t="shared" si="58"/>
        <v>0</v>
      </c>
      <c r="S50" s="78">
        <f t="shared" si="59"/>
        <v>38.130065999999999</v>
      </c>
      <c r="T50" s="168"/>
    </row>
    <row r="51" spans="1:22" s="145" customFormat="1">
      <c r="A51" s="203" t="s">
        <v>364</v>
      </c>
      <c r="B51" s="203" t="s">
        <v>98</v>
      </c>
      <c r="C51" s="204">
        <f t="shared" ref="C51:N51" si="64">(C40*$C$112)+(C41*$C$113)+(C42*$C$114)</f>
        <v>4372.88544</v>
      </c>
      <c r="D51" s="204">
        <f t="shared" si="64"/>
        <v>3186.2476799999963</v>
      </c>
      <c r="E51" s="204">
        <f t="shared" si="64"/>
        <v>7477.0444799999996</v>
      </c>
      <c r="F51" s="204">
        <f t="shared" si="64"/>
        <v>7087.3545600000007</v>
      </c>
      <c r="G51" s="204">
        <f t="shared" si="64"/>
        <v>7520.3251199999995</v>
      </c>
      <c r="H51" s="204">
        <f t="shared" si="64"/>
        <v>7754.567039999999</v>
      </c>
      <c r="I51" s="204">
        <f t="shared" si="64"/>
        <v>8405.4009600000009</v>
      </c>
      <c r="J51" s="204">
        <f t="shared" si="64"/>
        <v>7255.2240000000002</v>
      </c>
      <c r="K51" s="204">
        <f t="shared" si="64"/>
        <v>5869.2268800000002</v>
      </c>
      <c r="L51" s="204">
        <f t="shared" si="64"/>
        <v>5873.4086399999997</v>
      </c>
      <c r="M51" s="204">
        <f t="shared" si="64"/>
        <v>5649.4756800000005</v>
      </c>
      <c r="N51" s="204">
        <f t="shared" si="64"/>
        <v>6651.2983860000004</v>
      </c>
      <c r="O51" s="204">
        <f t="shared" si="55"/>
        <v>77102.458866000001</v>
      </c>
      <c r="P51" s="204">
        <f t="shared" si="56"/>
        <v>15036.177599999995</v>
      </c>
      <c r="Q51" s="204">
        <f t="shared" si="57"/>
        <v>22362.246719999999</v>
      </c>
      <c r="R51" s="204">
        <f t="shared" si="58"/>
        <v>21529.851840000003</v>
      </c>
      <c r="S51" s="204">
        <f t="shared" si="59"/>
        <v>18174.182706</v>
      </c>
      <c r="T51" s="173" t="s">
        <v>407</v>
      </c>
      <c r="U51" s="174">
        <f>O51/'Production, Raw Mat'!$O$5</f>
        <v>0.45484984651404958</v>
      </c>
      <c r="V51" s="132" t="s">
        <v>120</v>
      </c>
    </row>
    <row r="52" spans="1:22">
      <c r="A52" s="68" t="s">
        <v>323</v>
      </c>
      <c r="B52" s="68" t="s">
        <v>98</v>
      </c>
      <c r="C52" s="78">
        <f t="shared" ref="C52:N52" si="65">(C34*C37*(4186/1000000))</f>
        <v>30.716868000000002</v>
      </c>
      <c r="D52" s="78">
        <f t="shared" si="65"/>
        <v>232.87555199999997</v>
      </c>
      <c r="E52" s="78">
        <f t="shared" si="65"/>
        <v>365.02338599999996</v>
      </c>
      <c r="F52" s="78">
        <f>(F34*F37*(4186/1000000))</f>
        <v>401.05228799999998</v>
      </c>
      <c r="G52" s="78">
        <f t="shared" si="65"/>
        <v>344.74221599999998</v>
      </c>
      <c r="H52" s="78">
        <f t="shared" si="65"/>
        <v>2800.2581879999998</v>
      </c>
      <c r="I52" s="78">
        <f t="shared" si="65"/>
        <v>4340.4215399999994</v>
      </c>
      <c r="J52" s="78">
        <f t="shared" si="65"/>
        <v>7288.2236699999994</v>
      </c>
      <c r="K52" s="78">
        <f t="shared" si="65"/>
        <v>5916.3877499999999</v>
      </c>
      <c r="L52" s="78">
        <f t="shared" si="65"/>
        <v>3872.1337199999994</v>
      </c>
      <c r="M52" s="78">
        <f t="shared" si="65"/>
        <v>1757.8939559999999</v>
      </c>
      <c r="N52" s="78">
        <f t="shared" si="65"/>
        <v>199.44615599999997</v>
      </c>
      <c r="O52" s="78">
        <f t="shared" si="55"/>
        <v>27549.175289999992</v>
      </c>
      <c r="P52" s="78">
        <f t="shared" si="56"/>
        <v>628.61580599999991</v>
      </c>
      <c r="Q52" s="78">
        <f t="shared" si="57"/>
        <v>3546.0526919999998</v>
      </c>
      <c r="R52" s="78">
        <f t="shared" si="58"/>
        <v>17545.032959999997</v>
      </c>
      <c r="S52" s="78">
        <f t="shared" si="59"/>
        <v>5829.4738319999997</v>
      </c>
      <c r="T52" s="168"/>
    </row>
    <row r="53" spans="1:22">
      <c r="A53" s="68" t="s">
        <v>324</v>
      </c>
      <c r="B53" s="68" t="s">
        <v>98</v>
      </c>
      <c r="C53" s="78">
        <f>(C35*C37*(4186/1000000))</f>
        <v>0</v>
      </c>
      <c r="D53" s="78">
        <f t="shared" ref="D53:N53" si="66">(D35*D37*(4186/1000000))</f>
        <v>0</v>
      </c>
      <c r="E53" s="78">
        <f t="shared" si="66"/>
        <v>0</v>
      </c>
      <c r="F53" s="78">
        <f t="shared" si="66"/>
        <v>0</v>
      </c>
      <c r="G53" s="78">
        <f t="shared" si="66"/>
        <v>0</v>
      </c>
      <c r="H53" s="78">
        <f t="shared" si="66"/>
        <v>0</v>
      </c>
      <c r="I53" s="78">
        <f t="shared" si="66"/>
        <v>0</v>
      </c>
      <c r="J53" s="78">
        <f t="shared" si="66"/>
        <v>0</v>
      </c>
      <c r="K53" s="78">
        <f t="shared" si="66"/>
        <v>0</v>
      </c>
      <c r="L53" s="78">
        <f t="shared" si="66"/>
        <v>0</v>
      </c>
      <c r="M53" s="78">
        <f t="shared" si="66"/>
        <v>0</v>
      </c>
      <c r="N53" s="78">
        <f t="shared" si="66"/>
        <v>0</v>
      </c>
      <c r="O53" s="78">
        <f t="shared" si="55"/>
        <v>0</v>
      </c>
      <c r="P53" s="78">
        <f t="shared" si="56"/>
        <v>0</v>
      </c>
      <c r="Q53" s="78">
        <f t="shared" si="57"/>
        <v>0</v>
      </c>
      <c r="R53" s="78">
        <f t="shared" si="58"/>
        <v>0</v>
      </c>
      <c r="S53" s="78">
        <f t="shared" si="59"/>
        <v>0</v>
      </c>
      <c r="T53" s="168"/>
    </row>
    <row r="54" spans="1:22" s="145" customFormat="1">
      <c r="A54" s="124" t="s">
        <v>365</v>
      </c>
      <c r="B54" s="124" t="s">
        <v>98</v>
      </c>
      <c r="C54" s="156">
        <f>(C36*C37*(4186/1000000))</f>
        <v>30.716868000000002</v>
      </c>
      <c r="D54" s="156">
        <f t="shared" ref="D54:N54" si="67">(D36*D37*(4186/1000000))</f>
        <v>232.87555199999997</v>
      </c>
      <c r="E54" s="156">
        <f t="shared" si="67"/>
        <v>365.02338599999996</v>
      </c>
      <c r="F54" s="156">
        <f t="shared" si="67"/>
        <v>401.05228799999998</v>
      </c>
      <c r="G54" s="156">
        <f t="shared" si="67"/>
        <v>344.74221599999998</v>
      </c>
      <c r="H54" s="156">
        <f t="shared" si="67"/>
        <v>2800.2581879999998</v>
      </c>
      <c r="I54" s="156">
        <f t="shared" si="67"/>
        <v>4340.4215399999994</v>
      </c>
      <c r="J54" s="156">
        <f t="shared" si="67"/>
        <v>7288.2236699999994</v>
      </c>
      <c r="K54" s="156">
        <f t="shared" si="67"/>
        <v>5916.3877499999999</v>
      </c>
      <c r="L54" s="156">
        <f t="shared" si="67"/>
        <v>3872.1337199999994</v>
      </c>
      <c r="M54" s="156">
        <f t="shared" si="67"/>
        <v>1757.8939559999999</v>
      </c>
      <c r="N54" s="156">
        <f t="shared" si="67"/>
        <v>199.44615599999997</v>
      </c>
      <c r="O54" s="156">
        <f t="shared" si="55"/>
        <v>27549.175289999992</v>
      </c>
      <c r="P54" s="156">
        <f t="shared" si="56"/>
        <v>628.61580599999991</v>
      </c>
      <c r="Q54" s="156">
        <f t="shared" si="57"/>
        <v>3546.0526919999998</v>
      </c>
      <c r="R54" s="156">
        <f t="shared" si="58"/>
        <v>17545.032959999997</v>
      </c>
      <c r="S54" s="156">
        <f t="shared" si="59"/>
        <v>5829.4738319999997</v>
      </c>
      <c r="T54" s="173" t="s">
        <v>407</v>
      </c>
      <c r="U54" s="175">
        <f>O54/'Production, Raw Mat'!$O$5</f>
        <v>0.16252060357793394</v>
      </c>
      <c r="V54" s="132" t="s">
        <v>120</v>
      </c>
    </row>
    <row r="55" spans="1:22">
      <c r="A55" s="68" t="s">
        <v>338</v>
      </c>
      <c r="B55" s="68" t="s">
        <v>98</v>
      </c>
      <c r="C55" s="78">
        <f>C43+C49</f>
        <v>56954.835314199998</v>
      </c>
      <c r="D55" s="78">
        <f t="shared" ref="D55:S55" si="68">D43+D49</f>
        <v>45040.775367599992</v>
      </c>
      <c r="E55" s="78">
        <f t="shared" si="68"/>
        <v>112245.75648359998</v>
      </c>
      <c r="F55" s="78">
        <f>F43+F49</f>
        <v>100857.75686207999</v>
      </c>
      <c r="G55" s="78">
        <f t="shared" si="68"/>
        <v>101041.05715363998</v>
      </c>
      <c r="H55" s="78">
        <f t="shared" si="68"/>
        <v>101790.14076063997</v>
      </c>
      <c r="I55" s="78">
        <f t="shared" si="68"/>
        <v>115353.35555608</v>
      </c>
      <c r="J55" s="78">
        <f t="shared" si="68"/>
        <v>104506.86271356</v>
      </c>
      <c r="K55" s="78">
        <f t="shared" si="68"/>
        <v>80208.735523520008</v>
      </c>
      <c r="L55" s="78">
        <f t="shared" si="68"/>
        <v>82043.147485799986</v>
      </c>
      <c r="M55" s="78">
        <f t="shared" si="68"/>
        <v>74657.989022399997</v>
      </c>
      <c r="N55" s="78">
        <f t="shared" si="68"/>
        <v>98049.57901252</v>
      </c>
      <c r="O55" s="78">
        <f t="shared" si="68"/>
        <v>1072749.9912556398</v>
      </c>
      <c r="P55" s="78">
        <f t="shared" si="68"/>
        <v>214241.36716539998</v>
      </c>
      <c r="Q55" s="78">
        <f t="shared" si="68"/>
        <v>303688.95477635995</v>
      </c>
      <c r="R55" s="78">
        <f t="shared" si="68"/>
        <v>300068.95379316004</v>
      </c>
      <c r="S55" s="78">
        <f t="shared" si="68"/>
        <v>254750.71552072</v>
      </c>
      <c r="T55" s="168"/>
    </row>
    <row r="56" spans="1:22">
      <c r="A56" s="68" t="s">
        <v>339</v>
      </c>
      <c r="B56" s="68" t="s">
        <v>98</v>
      </c>
      <c r="C56" s="78">
        <f>C44+C50</f>
        <v>0</v>
      </c>
      <c r="D56" s="78">
        <f>D44+D50</f>
        <v>0</v>
      </c>
      <c r="E56" s="78">
        <f t="shared" ref="E56:S56" si="69">E44+E50</f>
        <v>0</v>
      </c>
      <c r="F56" s="78">
        <f t="shared" si="69"/>
        <v>0</v>
      </c>
      <c r="G56" s="78">
        <f t="shared" si="69"/>
        <v>0</v>
      </c>
      <c r="H56" s="78">
        <f t="shared" si="69"/>
        <v>0</v>
      </c>
      <c r="I56" s="78">
        <f t="shared" si="69"/>
        <v>0</v>
      </c>
      <c r="J56" s="78">
        <f>J44+J50</f>
        <v>0</v>
      </c>
      <c r="K56" s="78">
        <f t="shared" si="69"/>
        <v>0</v>
      </c>
      <c r="L56" s="78">
        <f t="shared" si="69"/>
        <v>0</v>
      </c>
      <c r="M56" s="78">
        <f t="shared" si="69"/>
        <v>0</v>
      </c>
      <c r="N56" s="78">
        <f t="shared" si="69"/>
        <v>159699.73176040003</v>
      </c>
      <c r="O56" s="78">
        <f t="shared" si="69"/>
        <v>159699.73176040003</v>
      </c>
      <c r="P56" s="78">
        <f t="shared" si="69"/>
        <v>0</v>
      </c>
      <c r="Q56" s="78">
        <f t="shared" si="69"/>
        <v>0</v>
      </c>
      <c r="R56" s="78">
        <f t="shared" si="69"/>
        <v>0</v>
      </c>
      <c r="S56" s="78">
        <f t="shared" si="69"/>
        <v>159699.73176040003</v>
      </c>
      <c r="T56" s="168"/>
    </row>
    <row r="57" spans="1:22" s="145" customFormat="1">
      <c r="A57" s="203" t="s">
        <v>369</v>
      </c>
      <c r="B57" s="203" t="s">
        <v>98</v>
      </c>
      <c r="C57" s="204">
        <f>C45+C51</f>
        <v>56954.835314199998</v>
      </c>
      <c r="D57" s="204">
        <f t="shared" ref="D57:S57" si="70">D45+D51</f>
        <v>45040.775367599992</v>
      </c>
      <c r="E57" s="204">
        <f t="shared" si="70"/>
        <v>112245.75648359998</v>
      </c>
      <c r="F57" s="204">
        <f>F45+F51</f>
        <v>100857.75686208</v>
      </c>
      <c r="G57" s="204">
        <f t="shared" si="70"/>
        <v>101041.05715363998</v>
      </c>
      <c r="H57" s="204">
        <f t="shared" si="70"/>
        <v>101790.14076063997</v>
      </c>
      <c r="I57" s="204">
        <f t="shared" si="70"/>
        <v>115353.35555608</v>
      </c>
      <c r="J57" s="204">
        <f t="shared" si="70"/>
        <v>104506.86271355998</v>
      </c>
      <c r="K57" s="204">
        <f t="shared" si="70"/>
        <v>80208.735523519994</v>
      </c>
      <c r="L57" s="204">
        <f t="shared" si="70"/>
        <v>82043.147485799986</v>
      </c>
      <c r="M57" s="204">
        <f t="shared" si="70"/>
        <v>74657.989022399997</v>
      </c>
      <c r="N57" s="204">
        <f t="shared" si="70"/>
        <v>98756.052543212762</v>
      </c>
      <c r="O57" s="204">
        <f t="shared" si="70"/>
        <v>1073456.4647863326</v>
      </c>
      <c r="P57" s="204">
        <f t="shared" si="70"/>
        <v>214241.36716539998</v>
      </c>
      <c r="Q57" s="204">
        <f t="shared" si="70"/>
        <v>303688.95477635995</v>
      </c>
      <c r="R57" s="204">
        <f t="shared" si="70"/>
        <v>300068.95379315998</v>
      </c>
      <c r="S57" s="204">
        <f t="shared" si="70"/>
        <v>255457.18905141274</v>
      </c>
      <c r="T57" s="168"/>
      <c r="U57" s="157"/>
    </row>
    <row r="58" spans="1:22">
      <c r="A58" s="68" t="s">
        <v>371</v>
      </c>
      <c r="B58" s="68" t="s">
        <v>98</v>
      </c>
      <c r="C58" s="78">
        <f t="shared" ref="C58:N58" si="71">C46+C49</f>
        <v>43634.450443332222</v>
      </c>
      <c r="D58" s="78">
        <f t="shared" si="71"/>
        <v>24478.739096251331</v>
      </c>
      <c r="E58" s="78">
        <f t="shared" si="71"/>
        <v>84955.730265252219</v>
      </c>
      <c r="F58" s="78">
        <f>F46+F49</f>
        <v>77068.432910687596</v>
      </c>
      <c r="G58" s="78">
        <f t="shared" si="71"/>
        <v>74996.181696607586</v>
      </c>
      <c r="H58" s="78">
        <f t="shared" si="71"/>
        <v>76211.544990651571</v>
      </c>
      <c r="I58" s="78">
        <f t="shared" si="71"/>
        <v>85632.676123957106</v>
      </c>
      <c r="J58" s="78">
        <f t="shared" si="71"/>
        <v>75915.102844092762</v>
      </c>
      <c r="K58" s="78">
        <f t="shared" si="71"/>
        <v>61067.172527202791</v>
      </c>
      <c r="L58" s="78">
        <f t="shared" si="71"/>
        <v>58123.4694485734</v>
      </c>
      <c r="M58" s="78">
        <f t="shared" si="71"/>
        <v>59309.219610407759</v>
      </c>
      <c r="N58" s="78">
        <f t="shared" si="71"/>
        <v>71207.283724616937</v>
      </c>
      <c r="O58" s="78">
        <f t="shared" ref="O58:S60" si="72">O49+O46</f>
        <v>792600.00368163327</v>
      </c>
      <c r="P58" s="78">
        <f t="shared" si="72"/>
        <v>153068.91980483578</v>
      </c>
      <c r="Q58" s="78">
        <f t="shared" si="72"/>
        <v>228276.15959794677</v>
      </c>
      <c r="R58" s="78">
        <f t="shared" si="72"/>
        <v>222614.95149525267</v>
      </c>
      <c r="S58" s="78">
        <f t="shared" si="72"/>
        <v>188639.97278359812</v>
      </c>
      <c r="T58" s="168"/>
    </row>
    <row r="59" spans="1:22">
      <c r="A59" s="68" t="s">
        <v>372</v>
      </c>
      <c r="B59" s="68" t="s">
        <v>98</v>
      </c>
      <c r="C59" s="78">
        <f>C47+C50</f>
        <v>0</v>
      </c>
      <c r="D59" s="78">
        <f t="shared" ref="D59:N59" si="73">D47+D50</f>
        <v>0</v>
      </c>
      <c r="E59" s="78">
        <f t="shared" si="73"/>
        <v>0</v>
      </c>
      <c r="F59" s="78">
        <f t="shared" si="73"/>
        <v>0</v>
      </c>
      <c r="G59" s="78">
        <f t="shared" si="73"/>
        <v>0</v>
      </c>
      <c r="H59" s="78">
        <f t="shared" si="73"/>
        <v>0</v>
      </c>
      <c r="I59" s="78">
        <f t="shared" si="73"/>
        <v>0</v>
      </c>
      <c r="J59" s="78">
        <f t="shared" si="73"/>
        <v>0</v>
      </c>
      <c r="K59" s="78">
        <f t="shared" si="73"/>
        <v>0</v>
      </c>
      <c r="L59" s="78">
        <f t="shared" si="73"/>
        <v>0</v>
      </c>
      <c r="M59" s="78">
        <f t="shared" si="73"/>
        <v>0</v>
      </c>
      <c r="N59" s="78">
        <f t="shared" si="73"/>
        <v>38.130065999999999</v>
      </c>
      <c r="O59" s="78">
        <f t="shared" si="72"/>
        <v>38.130065999999999</v>
      </c>
      <c r="P59" s="78">
        <f t="shared" si="72"/>
        <v>0</v>
      </c>
      <c r="Q59" s="78">
        <f t="shared" si="72"/>
        <v>0</v>
      </c>
      <c r="R59" s="78">
        <f t="shared" si="72"/>
        <v>0</v>
      </c>
      <c r="S59" s="78">
        <f t="shared" si="72"/>
        <v>38.130065999999999</v>
      </c>
      <c r="T59" s="168"/>
    </row>
    <row r="60" spans="1:22">
      <c r="A60" s="124" t="s">
        <v>370</v>
      </c>
      <c r="B60" s="124" t="s">
        <v>98</v>
      </c>
      <c r="C60" s="156">
        <f>SUM(C58:C59)</f>
        <v>43634.450443332222</v>
      </c>
      <c r="D60" s="156">
        <f t="shared" ref="D60:N60" si="74">SUM(D58:D59)</f>
        <v>24478.739096251331</v>
      </c>
      <c r="E60" s="156">
        <f t="shared" si="74"/>
        <v>84955.730265252219</v>
      </c>
      <c r="F60" s="156">
        <f t="shared" si="74"/>
        <v>77068.432910687596</v>
      </c>
      <c r="G60" s="156">
        <f t="shared" si="74"/>
        <v>74996.181696607586</v>
      </c>
      <c r="H60" s="156">
        <f t="shared" si="74"/>
        <v>76211.544990651571</v>
      </c>
      <c r="I60" s="156">
        <f t="shared" si="74"/>
        <v>85632.676123957106</v>
      </c>
      <c r="J60" s="156">
        <f t="shared" si="74"/>
        <v>75915.102844092762</v>
      </c>
      <c r="K60" s="156">
        <f t="shared" si="74"/>
        <v>61067.172527202791</v>
      </c>
      <c r="L60" s="156">
        <f t="shared" si="74"/>
        <v>58123.4694485734</v>
      </c>
      <c r="M60" s="156">
        <f t="shared" si="74"/>
        <v>59309.219610407759</v>
      </c>
      <c r="N60" s="156">
        <f t="shared" si="74"/>
        <v>71245.413790616934</v>
      </c>
      <c r="O60" s="78">
        <f t="shared" si="72"/>
        <v>792638.13374763331</v>
      </c>
      <c r="P60" s="78">
        <f t="shared" si="72"/>
        <v>153068.91980483578</v>
      </c>
      <c r="Q60" s="78">
        <f t="shared" si="72"/>
        <v>228276.15959794677</v>
      </c>
      <c r="R60" s="78">
        <f t="shared" si="72"/>
        <v>222614.95149525267</v>
      </c>
      <c r="S60" s="78">
        <f t="shared" si="72"/>
        <v>188678.1028495981</v>
      </c>
      <c r="T60" s="168"/>
    </row>
    <row r="61" spans="1:22" s="157" customFormat="1" ht="12" customHeight="1">
      <c r="A61" s="146" t="s">
        <v>340</v>
      </c>
      <c r="B61" s="146" t="s">
        <v>120</v>
      </c>
      <c r="C61" s="133">
        <f>'Energy, GHG'!C55/'Production, Raw Mat'!C3</f>
        <v>5.926664334447354</v>
      </c>
      <c r="D61" s="133">
        <f>'Energy, GHG'!D55/'Production, Raw Mat'!D3</f>
        <v>7.1379077136189739</v>
      </c>
      <c r="E61" s="133">
        <f>'Energy, GHG'!E55/'Production, Raw Mat'!E3</f>
        <v>6.329776373634818</v>
      </c>
      <c r="F61" s="133">
        <f>'Energy, GHG'!F55/'Production, Raw Mat'!F3</f>
        <v>6.3852389513835135</v>
      </c>
      <c r="G61" s="133">
        <f>'Energy, GHG'!G55/'Production, Raw Mat'!G3</f>
        <v>6.2790401706924737</v>
      </c>
      <c r="H61" s="133">
        <f>'Energy, GHG'!H55/'Production, Raw Mat'!H3</f>
        <v>6.2036837235280275</v>
      </c>
      <c r="I61" s="133">
        <f>'Energy, GHG'!I55/'Production, Raw Mat'!I3</f>
        <v>6.2507495141227851</v>
      </c>
      <c r="J61" s="133">
        <f>'Energy, GHG'!J55/'Production, Raw Mat'!J3</f>
        <v>6.4591626084248288</v>
      </c>
      <c r="K61" s="133">
        <f>'Energy, GHG'!K55/'Production, Raw Mat'!K3</f>
        <v>6.6087434455582761</v>
      </c>
      <c r="L61" s="133">
        <f>'Energy, GHG'!L55/'Production, Raw Mat'!L3</f>
        <v>6.5819649093357926</v>
      </c>
      <c r="M61" s="133">
        <f>'Energy, GHG'!M55/'Production, Raw Mat'!M3</f>
        <v>6.0578632992856845</v>
      </c>
      <c r="N61" s="133">
        <f>'Energy, GHG'!N55/'Production, Raw Mat'!N3</f>
        <v>6.2931891692188984</v>
      </c>
      <c r="O61" s="133">
        <f>'Energy, GHG'!O55/'Production, Raw Mat'!O3</f>
        <v>6.3443210343612648</v>
      </c>
      <c r="P61" s="133">
        <f>'Energy, GHG'!P55/'Production, Raw Mat'!P3</f>
        <v>6.3661920218644186</v>
      </c>
      <c r="Q61" s="133">
        <f>'Energy, GHG'!Q55/'Production, Raw Mat'!Q3</f>
        <v>6.2881716718385414</v>
      </c>
      <c r="R61" s="133">
        <f>'Energy, GHG'!R55/'Production, Raw Mat'!R3</f>
        <v>6.4157444999590494</v>
      </c>
      <c r="S61" s="133">
        <f>'Energy, GHG'!S55/'Production, Raw Mat'!S3</f>
        <v>6.3105130822985664</v>
      </c>
      <c r="T61" s="169"/>
    </row>
    <row r="62" spans="1:22" s="157" customFormat="1" ht="12" customHeight="1">
      <c r="A62" s="146" t="s">
        <v>341</v>
      </c>
      <c r="B62" s="146" t="s">
        <v>120</v>
      </c>
      <c r="C62" s="133" t="e">
        <f>'Energy, GHG'!C56/'Production, Raw Mat'!C4</f>
        <v>#DIV/0!</v>
      </c>
      <c r="D62" s="133" t="e">
        <f>'Energy, GHG'!D56/'Production, Raw Mat'!D4</f>
        <v>#DIV/0!</v>
      </c>
      <c r="E62" s="133" t="e">
        <f>'Energy, GHG'!E56/'Production, Raw Mat'!E4</f>
        <v>#DIV/0!</v>
      </c>
      <c r="F62" s="133" t="e">
        <f>'Energy, GHG'!F56/'Production, Raw Mat'!F4</f>
        <v>#DIV/0!</v>
      </c>
      <c r="G62" s="133" t="e">
        <f>'Energy, GHG'!G56/'Production, Raw Mat'!G4</f>
        <v>#DIV/0!</v>
      </c>
      <c r="H62" s="133" t="e">
        <f>'Energy, GHG'!H56/'Production, Raw Mat'!H4</f>
        <v>#DIV/0!</v>
      </c>
      <c r="I62" s="133" t="e">
        <f>'Energy, GHG'!I56/'Production, Raw Mat'!I4</f>
        <v>#DIV/0!</v>
      </c>
      <c r="J62" s="133" t="e">
        <f>'Energy, GHG'!J56/'Production, Raw Mat'!J4</f>
        <v>#DIV/0!</v>
      </c>
      <c r="K62" s="133" t="e">
        <f>'Energy, GHG'!K56/'Production, Raw Mat'!K4</f>
        <v>#DIV/0!</v>
      </c>
      <c r="L62" s="133" t="e">
        <f>'Energy, GHG'!L56/'Production, Raw Mat'!L4</f>
        <v>#DIV/0!</v>
      </c>
      <c r="M62" s="133" t="e">
        <f>'Energy, GHG'!M56/'Production, Raw Mat'!M4</f>
        <v>#DIV/0!</v>
      </c>
      <c r="N62" s="133">
        <f>'Energy, GHG'!N56/'Production, Raw Mat'!N4</f>
        <v>376.94600000000003</v>
      </c>
      <c r="O62" s="133">
        <f>'Energy, GHG'!O56/'Production, Raw Mat'!O4</f>
        <v>376.94600000000003</v>
      </c>
      <c r="P62" s="133" t="e">
        <f>'Energy, GHG'!P56/'Production, Raw Mat'!P4</f>
        <v>#DIV/0!</v>
      </c>
      <c r="Q62" s="133" t="e">
        <f>'Energy, GHG'!Q56/'Production, Raw Mat'!Q4</f>
        <v>#DIV/0!</v>
      </c>
      <c r="R62" s="133" t="e">
        <f>'Energy, GHG'!R56/'Production, Raw Mat'!R4</f>
        <v>#DIV/0!</v>
      </c>
      <c r="S62" s="133">
        <f>'Energy, GHG'!S56/'Production, Raw Mat'!S4</f>
        <v>376.94600000000003</v>
      </c>
      <c r="T62" s="169"/>
    </row>
    <row r="63" spans="1:22" s="145" customFormat="1" ht="12" customHeight="1">
      <c r="A63" s="203" t="s">
        <v>373</v>
      </c>
      <c r="B63" s="203" t="s">
        <v>120</v>
      </c>
      <c r="C63" s="205">
        <f>'Energy, GHG'!C57/'Production, Raw Mat'!C5</f>
        <v>5.926664334447354</v>
      </c>
      <c r="D63" s="205">
        <f>'Energy, GHG'!D57/'Production, Raw Mat'!D5</f>
        <v>7.1379077136189739</v>
      </c>
      <c r="E63" s="205">
        <f>'Energy, GHG'!E57/'Production, Raw Mat'!E5</f>
        <v>6.329776373634818</v>
      </c>
      <c r="F63" s="205">
        <f>'Energy, GHG'!F57/'Production, Raw Mat'!F5</f>
        <v>6.3852389513835144</v>
      </c>
      <c r="G63" s="205">
        <f>'Energy, GHG'!G57/'Production, Raw Mat'!G5</f>
        <v>6.2790401706924737</v>
      </c>
      <c r="H63" s="205">
        <f>'Energy, GHG'!H57/'Production, Raw Mat'!H5</f>
        <v>6.2036837235280275</v>
      </c>
      <c r="I63" s="205">
        <f>'Energy, GHG'!I57/'Production, Raw Mat'!I5</f>
        <v>6.2507495141227851</v>
      </c>
      <c r="J63" s="205">
        <f>'Energy, GHG'!J57/'Production, Raw Mat'!J5</f>
        <v>6.4591626084248279</v>
      </c>
      <c r="K63" s="205">
        <f>'Energy, GHG'!K57/'Production, Raw Mat'!K5</f>
        <v>6.6087434455582743</v>
      </c>
      <c r="L63" s="205">
        <f>'Energy, GHG'!L57/'Production, Raw Mat'!L5</f>
        <v>6.5819649093357926</v>
      </c>
      <c r="M63" s="205">
        <f>'Energy, GHG'!M57/'Production, Raw Mat'!M5</f>
        <v>6.0578632992856845</v>
      </c>
      <c r="N63" s="205">
        <f>'Energy, GHG'!N57/'Production, Raw Mat'!N5</f>
        <v>6.1707351969591793</v>
      </c>
      <c r="O63" s="205">
        <f>'Energy, GHG'!O57/'Production, Raw Mat'!O5</f>
        <v>6.3326321291017491</v>
      </c>
      <c r="P63" s="205">
        <f>'Energy, GHG'!P57/'Production, Raw Mat'!P5</f>
        <v>6.3661920218644186</v>
      </c>
      <c r="Q63" s="205">
        <f>'Energy, GHG'!Q57/'Production, Raw Mat'!Q5</f>
        <v>6.2881716718385414</v>
      </c>
      <c r="R63" s="205">
        <f>'Energy, GHG'!R57/'Production, Raw Mat'!R5</f>
        <v>6.4157444999590485</v>
      </c>
      <c r="S63" s="205">
        <f>'Energy, GHG'!S57/'Production, Raw Mat'!S5</f>
        <v>6.2622918469619133</v>
      </c>
      <c r="T63" s="169"/>
      <c r="U63" s="157"/>
    </row>
    <row r="64" spans="1:22" s="157" customFormat="1" ht="12" customHeight="1">
      <c r="A64" s="146" t="s">
        <v>374</v>
      </c>
      <c r="B64" s="146" t="s">
        <v>120</v>
      </c>
      <c r="C64" s="133">
        <f>'Energy, GHG'!C58/'Production, Raw Mat'!C3</f>
        <v>4.5405581417111343</v>
      </c>
      <c r="D64" s="133">
        <f>'Energy, GHG'!D58/'Production, Raw Mat'!D3</f>
        <v>3.8793066768670306</v>
      </c>
      <c r="E64" s="133">
        <f>'Energy, GHG'!E58/'Production, Raw Mat'!E3</f>
        <v>4.7908338906019639</v>
      </c>
      <c r="F64" s="133">
        <f>'Energy, GHG'!F58/'Production, Raw Mat'!F3</f>
        <v>4.879152333482315</v>
      </c>
      <c r="G64" s="133">
        <f>'Energy, GHG'!G58/'Production, Raw Mat'!G3</f>
        <v>4.6605216808599712</v>
      </c>
      <c r="H64" s="133">
        <f>'Energy, GHG'!H58/'Production, Raw Mat'!H3</f>
        <v>4.6447751979752407</v>
      </c>
      <c r="I64" s="133">
        <f>'Energy, GHG'!I58/'Production, Raw Mat'!I3</f>
        <v>4.6402500048178785</v>
      </c>
      <c r="J64" s="133">
        <f>'Energy, GHG'!J58/'Production, Raw Mat'!J3</f>
        <v>4.6920171649327065</v>
      </c>
      <c r="K64" s="133">
        <f>'Energy, GHG'!K58/'Production, Raw Mat'!K3</f>
        <v>5.0315875639204517</v>
      </c>
      <c r="L64" s="133">
        <f>'Energy, GHG'!L58/'Production, Raw Mat'!L3</f>
        <v>4.6629931693634221</v>
      </c>
      <c r="M64" s="133">
        <f>'Energy, GHG'!M58/'Production, Raw Mat'!M3</f>
        <v>4.8124406977981327</v>
      </c>
      <c r="N64" s="133">
        <f>'Energy, GHG'!N58/'Production, Raw Mat'!N3</f>
        <v>4.5703501352926326</v>
      </c>
      <c r="O64" s="133">
        <f>'Energy, GHG'!O58/'Production, Raw Mat'!O3</f>
        <v>4.6874937461489958</v>
      </c>
      <c r="P64" s="133">
        <f>'Energy, GHG'!P58/'Production, Raw Mat'!P3</f>
        <v>4.5484499513328656</v>
      </c>
      <c r="Q64" s="133">
        <f>'Energy, GHG'!Q58/'Production, Raw Mat'!Q3</f>
        <v>4.7266772714765901</v>
      </c>
      <c r="R64" s="133">
        <f>'Energy, GHG'!R58/'Production, Raw Mat'!R3</f>
        <v>4.7597081691057443</v>
      </c>
      <c r="S64" s="133">
        <f>'Energy, GHG'!S58/'Production, Raw Mat'!S3</f>
        <v>4.6728623064398018</v>
      </c>
      <c r="T64" s="169"/>
    </row>
    <row r="65" spans="1:21" s="157" customFormat="1" ht="12" customHeight="1">
      <c r="A65" s="146" t="s">
        <v>375</v>
      </c>
      <c r="B65" s="146" t="s">
        <v>120</v>
      </c>
      <c r="C65" s="133" t="e">
        <f>'Energy, GHG'!C59/'Production, Raw Mat'!C4</f>
        <v>#DIV/0!</v>
      </c>
      <c r="D65" s="133" t="e">
        <f>'Energy, GHG'!D59/'Production, Raw Mat'!D4</f>
        <v>#DIV/0!</v>
      </c>
      <c r="E65" s="133" t="e">
        <f>'Energy, GHG'!E59/'Production, Raw Mat'!E4</f>
        <v>#DIV/0!</v>
      </c>
      <c r="F65" s="133" t="e">
        <f>'Energy, GHG'!F59/'Production, Raw Mat'!F4</f>
        <v>#DIV/0!</v>
      </c>
      <c r="G65" s="133" t="e">
        <f>'Energy, GHG'!G59/'Production, Raw Mat'!G4</f>
        <v>#DIV/0!</v>
      </c>
      <c r="H65" s="133" t="e">
        <f>'Energy, GHG'!H59/'Production, Raw Mat'!H4</f>
        <v>#DIV/0!</v>
      </c>
      <c r="I65" s="133" t="e">
        <f>'Energy, GHG'!I59/'Production, Raw Mat'!I4</f>
        <v>#DIV/0!</v>
      </c>
      <c r="J65" s="133" t="e">
        <f>'Energy, GHG'!J59/'Production, Raw Mat'!J4</f>
        <v>#DIV/0!</v>
      </c>
      <c r="K65" s="133" t="e">
        <f>'Energy, GHG'!K59/'Production, Raw Mat'!K4</f>
        <v>#DIV/0!</v>
      </c>
      <c r="L65" s="133" t="e">
        <f>'Energy, GHG'!L59/'Production, Raw Mat'!L4</f>
        <v>#DIV/0!</v>
      </c>
      <c r="M65" s="133" t="e">
        <f>'Energy, GHG'!M59/'Production, Raw Mat'!M4</f>
        <v>#DIV/0!</v>
      </c>
      <c r="N65" s="133">
        <f>'Energy, GHG'!N59/'Production, Raw Mat'!N4</f>
        <v>8.9999999999999983E-2</v>
      </c>
      <c r="O65" s="133">
        <f>'Energy, GHG'!O59/'Production, Raw Mat'!O4</f>
        <v>8.9999999999999983E-2</v>
      </c>
      <c r="P65" s="133" t="e">
        <f>'Energy, GHG'!P59/'Production, Raw Mat'!P4</f>
        <v>#DIV/0!</v>
      </c>
      <c r="Q65" s="133" t="e">
        <f>'Energy, GHG'!Q59/'Production, Raw Mat'!Q4</f>
        <v>#DIV/0!</v>
      </c>
      <c r="R65" s="133" t="e">
        <f>'Energy, GHG'!R59/'Production, Raw Mat'!R4</f>
        <v>#DIV/0!</v>
      </c>
      <c r="S65" s="133">
        <f>'Energy, GHG'!S59/'Production, Raw Mat'!S4</f>
        <v>8.9999999999999983E-2</v>
      </c>
      <c r="T65" s="169"/>
    </row>
    <row r="66" spans="1:21" s="145" customFormat="1" ht="12" customHeight="1">
      <c r="A66" s="124" t="s">
        <v>376</v>
      </c>
      <c r="B66" s="124" t="s">
        <v>120</v>
      </c>
      <c r="C66" s="129">
        <f>'Energy, GHG'!C60/'Production, Raw Mat'!C5</f>
        <v>4.5405581417111343</v>
      </c>
      <c r="D66" s="129">
        <f>'Energy, GHG'!D60/'Production, Raw Mat'!D5</f>
        <v>3.8793066768670306</v>
      </c>
      <c r="E66" s="129">
        <f>'Energy, GHG'!E60/'Production, Raw Mat'!E5</f>
        <v>4.7908338906019639</v>
      </c>
      <c r="F66" s="129">
        <f>'Energy, GHG'!F60/'Production, Raw Mat'!F5</f>
        <v>4.879152333482315</v>
      </c>
      <c r="G66" s="129">
        <f>'Energy, GHG'!G60/'Production, Raw Mat'!G5</f>
        <v>4.6605216808599712</v>
      </c>
      <c r="H66" s="129">
        <f>'Energy, GHG'!H60/'Production, Raw Mat'!H5</f>
        <v>4.6447751979752407</v>
      </c>
      <c r="I66" s="129">
        <f>'Energy, GHG'!I60/'Production, Raw Mat'!I5</f>
        <v>4.6402500048178785</v>
      </c>
      <c r="J66" s="129">
        <f>'Energy, GHG'!J60/'Production, Raw Mat'!J5</f>
        <v>4.6920171649327065</v>
      </c>
      <c r="K66" s="129">
        <f>'Energy, GHG'!K60/'Production, Raw Mat'!K5</f>
        <v>5.0315875639204517</v>
      </c>
      <c r="L66" s="129">
        <f>'Energy, GHG'!L60/'Production, Raw Mat'!L5</f>
        <v>4.6629931693634221</v>
      </c>
      <c r="M66" s="129">
        <f>'Energy, GHG'!M60/'Production, Raw Mat'!M5</f>
        <v>4.8124406977981327</v>
      </c>
      <c r="N66" s="129">
        <f>'Energy, GHG'!N60/'Production, Raw Mat'!N5</f>
        <v>4.4517431709545976</v>
      </c>
      <c r="O66" s="129">
        <f>'Energy, GHG'!O60/'Production, Raw Mat'!O5</f>
        <v>4.6760030585130643</v>
      </c>
      <c r="P66" s="129">
        <f>'Energy, GHG'!P60/'Production, Raw Mat'!P5</f>
        <v>4.5484499513328656</v>
      </c>
      <c r="Q66" s="129">
        <f>'Energy, GHG'!Q60/'Production, Raw Mat'!Q5</f>
        <v>4.7266772714765901</v>
      </c>
      <c r="R66" s="129">
        <f>'Energy, GHG'!R60/'Production, Raw Mat'!R5</f>
        <v>4.7597081691057443</v>
      </c>
      <c r="S66" s="129">
        <f>'Energy, GHG'!S60/'Production, Raw Mat'!S5</f>
        <v>4.6252655858413991</v>
      </c>
      <c r="T66" s="169"/>
      <c r="U66" s="157"/>
    </row>
    <row r="67" spans="1:21">
      <c r="A67" s="125"/>
      <c r="B67" s="125"/>
      <c r="C67" s="125">
        <f>C31+C69</f>
        <v>17330</v>
      </c>
      <c r="D67" s="125">
        <f t="shared" ref="D67" si="75">D31+D69</f>
        <v>17932</v>
      </c>
      <c r="E67" s="125">
        <f>E31+E69</f>
        <v>31613</v>
      </c>
      <c r="F67" s="125"/>
      <c r="G67" s="125"/>
      <c r="H67" s="125"/>
      <c r="I67" s="125"/>
      <c r="J67" s="125"/>
      <c r="K67" s="125"/>
      <c r="L67" s="125"/>
      <c r="M67" s="125"/>
      <c r="N67" s="125"/>
      <c r="O67" s="125"/>
      <c r="P67" s="125"/>
      <c r="Q67" s="125"/>
      <c r="R67" s="125"/>
      <c r="S67" s="125"/>
      <c r="T67" s="168"/>
      <c r="U67" s="168"/>
    </row>
    <row r="68" spans="1:21" s="142" customFormat="1">
      <c r="A68" s="126" t="s">
        <v>179</v>
      </c>
      <c r="B68" s="126" t="s">
        <v>73</v>
      </c>
      <c r="C68" s="126" t="s">
        <v>74</v>
      </c>
      <c r="D68" s="126" t="s">
        <v>75</v>
      </c>
      <c r="E68" s="126" t="s">
        <v>76</v>
      </c>
      <c r="F68" s="126" t="s">
        <v>77</v>
      </c>
      <c r="G68" s="126" t="s">
        <v>78</v>
      </c>
      <c r="H68" s="126" t="s">
        <v>79</v>
      </c>
      <c r="I68" s="126" t="s">
        <v>80</v>
      </c>
      <c r="J68" s="126" t="s">
        <v>81</v>
      </c>
      <c r="K68" s="126" t="s">
        <v>82</v>
      </c>
      <c r="L68" s="126" t="s">
        <v>83</v>
      </c>
      <c r="M68" s="126" t="s">
        <v>84</v>
      </c>
      <c r="N68" s="126" t="s">
        <v>85</v>
      </c>
      <c r="O68" s="117" t="s">
        <v>86</v>
      </c>
      <c r="P68" s="117" t="s">
        <v>87</v>
      </c>
      <c r="Q68" s="117" t="s">
        <v>88</v>
      </c>
      <c r="R68" s="117" t="s">
        <v>89</v>
      </c>
      <c r="S68" s="117" t="s">
        <v>90</v>
      </c>
      <c r="T68" s="170"/>
      <c r="U68" s="157"/>
    </row>
    <row r="69" spans="1:21">
      <c r="A69" s="80" t="s">
        <v>277</v>
      </c>
      <c r="B69" s="80" t="s">
        <v>103</v>
      </c>
      <c r="C69" s="121">
        <v>2000</v>
      </c>
      <c r="D69" s="80">
        <v>0</v>
      </c>
      <c r="E69" s="80">
        <v>5500</v>
      </c>
      <c r="F69" s="80">
        <v>2000</v>
      </c>
      <c r="G69" s="80">
        <v>0</v>
      </c>
      <c r="H69" s="80">
        <v>0</v>
      </c>
      <c r="I69" s="80">
        <v>2000</v>
      </c>
      <c r="J69" s="80">
        <v>0</v>
      </c>
      <c r="K69" s="80">
        <v>4000</v>
      </c>
      <c r="L69" s="121">
        <v>0</v>
      </c>
      <c r="M69" s="80">
        <v>5000</v>
      </c>
      <c r="N69" s="80">
        <v>18000</v>
      </c>
      <c r="O69" s="68">
        <f t="shared" ref="O69:O72" si="76">SUM(C69:N69)</f>
        <v>38500</v>
      </c>
      <c r="P69" s="68">
        <f t="shared" ref="P69:P72" si="77">SUM(C69:E69)</f>
        <v>7500</v>
      </c>
      <c r="Q69" s="68">
        <f t="shared" ref="Q69:Q72" si="78">SUM(F69:H69)</f>
        <v>2000</v>
      </c>
      <c r="R69" s="68">
        <f t="shared" ref="R69:R72" si="79">SUM(I69:K69)</f>
        <v>6000</v>
      </c>
      <c r="S69" s="68">
        <f t="shared" ref="S69:S72" si="80">SUM(L69:N69)</f>
        <v>23000</v>
      </c>
      <c r="T69" s="168"/>
      <c r="U69" s="168"/>
    </row>
    <row r="70" spans="1:21" hidden="1">
      <c r="A70" s="80" t="s">
        <v>257</v>
      </c>
      <c r="B70" s="80" t="s">
        <v>102</v>
      </c>
      <c r="C70" s="121"/>
      <c r="D70" s="80"/>
      <c r="E70" s="80"/>
      <c r="F70" s="80"/>
      <c r="G70" s="80"/>
      <c r="H70" s="80"/>
      <c r="I70" s="80"/>
      <c r="J70" s="80"/>
      <c r="K70" s="80"/>
      <c r="L70" s="80"/>
      <c r="M70" s="80"/>
      <c r="N70" s="80"/>
      <c r="O70" s="68">
        <f t="shared" si="76"/>
        <v>0</v>
      </c>
      <c r="P70" s="68">
        <f t="shared" si="77"/>
        <v>0</v>
      </c>
      <c r="Q70" s="68">
        <f t="shared" si="78"/>
        <v>0</v>
      </c>
      <c r="R70" s="68">
        <f t="shared" si="79"/>
        <v>0</v>
      </c>
      <c r="S70" s="68">
        <f t="shared" si="80"/>
        <v>0</v>
      </c>
      <c r="T70" s="168"/>
      <c r="U70" s="168"/>
    </row>
    <row r="71" spans="1:21">
      <c r="A71" s="80" t="s">
        <v>278</v>
      </c>
      <c r="B71" s="80" t="s">
        <v>102</v>
      </c>
      <c r="C71" s="121">
        <v>72</v>
      </c>
      <c r="D71" s="80">
        <f>9*12</f>
        <v>108</v>
      </c>
      <c r="E71" s="80">
        <v>12</v>
      </c>
      <c r="F71" s="80">
        <v>12</v>
      </c>
      <c r="G71" s="80">
        <v>24</v>
      </c>
      <c r="H71" s="80">
        <v>12</v>
      </c>
      <c r="I71" s="80">
        <v>0</v>
      </c>
      <c r="J71" s="80"/>
      <c r="K71" s="80"/>
      <c r="L71" s="80"/>
      <c r="M71" s="80">
        <f>3*12</f>
        <v>36</v>
      </c>
      <c r="N71" s="80">
        <v>0</v>
      </c>
      <c r="O71" s="68">
        <f t="shared" si="76"/>
        <v>276</v>
      </c>
      <c r="P71" s="68">
        <f t="shared" si="77"/>
        <v>192</v>
      </c>
      <c r="Q71" s="68">
        <f t="shared" si="78"/>
        <v>48</v>
      </c>
      <c r="R71" s="68">
        <f t="shared" si="79"/>
        <v>0</v>
      </c>
      <c r="S71" s="68">
        <f t="shared" si="80"/>
        <v>36</v>
      </c>
      <c r="T71" s="168"/>
      <c r="U71" s="168"/>
    </row>
    <row r="72" spans="1:21" ht="14.25">
      <c r="A72" s="127" t="s">
        <v>258</v>
      </c>
      <c r="B72" s="127" t="s">
        <v>91</v>
      </c>
      <c r="C72" s="140">
        <v>1185.21</v>
      </c>
      <c r="D72" s="127">
        <f>'Production, Raw Mat'!D8</f>
        <v>903.63</v>
      </c>
      <c r="E72" s="127">
        <f>'Production, Raw Mat'!E8</f>
        <v>2451.7350000000001</v>
      </c>
      <c r="F72" s="128">
        <f>'Production, Raw Mat'!F8</f>
        <v>2133.4949999999999</v>
      </c>
      <c r="G72" s="127">
        <f>'Production, Raw Mat'!G8</f>
        <v>2066.2199999999998</v>
      </c>
      <c r="H72" s="127">
        <f>'Production, Raw Mat'!H8</f>
        <v>2160.7950000000001</v>
      </c>
      <c r="I72" s="127">
        <f>'Production, Raw Mat'!I8</f>
        <v>2501.2649999999999</v>
      </c>
      <c r="J72" s="127">
        <f>'Production, Raw Mat'!J8</f>
        <v>2094.69</v>
      </c>
      <c r="K72" s="127">
        <f>'Production, Raw Mat'!K8</f>
        <v>1523.34</v>
      </c>
      <c r="L72" s="127">
        <f>'Production, Raw Mat'!L8</f>
        <v>1624.155</v>
      </c>
      <c r="M72" s="127">
        <f>'Production, Raw Mat'!M8</f>
        <v>1624.35</v>
      </c>
      <c r="N72" s="127">
        <f>'Production, Raw Mat'!N8</f>
        <v>1872.75</v>
      </c>
      <c r="O72" s="68">
        <f t="shared" si="76"/>
        <v>22141.634999999998</v>
      </c>
      <c r="P72" s="68">
        <f t="shared" si="77"/>
        <v>4540.5750000000007</v>
      </c>
      <c r="Q72" s="68">
        <f t="shared" si="78"/>
        <v>6360.51</v>
      </c>
      <c r="R72" s="68">
        <f t="shared" si="79"/>
        <v>6119.2950000000001</v>
      </c>
      <c r="S72" s="68">
        <f t="shared" si="80"/>
        <v>5121.2550000000001</v>
      </c>
      <c r="T72" s="168"/>
      <c r="U72" s="168"/>
    </row>
    <row r="73" spans="1:21" s="143" customFormat="1" ht="14.25" hidden="1">
      <c r="A73" s="128" t="s">
        <v>194</v>
      </c>
      <c r="B73" s="128" t="s">
        <v>182</v>
      </c>
      <c r="C73" s="120"/>
      <c r="D73" s="128"/>
      <c r="E73" s="128"/>
      <c r="F73" s="128"/>
      <c r="G73" s="128"/>
      <c r="H73" s="128"/>
      <c r="I73" s="128"/>
      <c r="J73" s="128"/>
      <c r="K73" s="128"/>
      <c r="L73" s="128"/>
      <c r="M73" s="128"/>
      <c r="N73" s="128"/>
      <c r="O73" s="122"/>
      <c r="P73" s="122"/>
      <c r="Q73" s="122"/>
      <c r="R73" s="122"/>
      <c r="S73" s="122"/>
      <c r="T73" s="176"/>
      <c r="U73" s="177"/>
    </row>
    <row r="74" spans="1:21" s="143" customFormat="1" ht="36" hidden="1">
      <c r="A74" s="147" t="s">
        <v>325</v>
      </c>
      <c r="B74" s="128" t="s">
        <v>178</v>
      </c>
      <c r="C74" s="120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2"/>
      <c r="P74" s="122"/>
      <c r="Q74" s="122"/>
      <c r="R74" s="122"/>
      <c r="S74" s="122"/>
      <c r="T74" s="176"/>
      <c r="U74" s="177"/>
    </row>
    <row r="75" spans="1:21" s="143" customFormat="1" hidden="1">
      <c r="A75" s="128" t="s">
        <v>195</v>
      </c>
      <c r="B75" s="128" t="s">
        <v>178</v>
      </c>
      <c r="C75" s="120"/>
      <c r="D75" s="128"/>
      <c r="E75" s="128"/>
      <c r="F75" s="128"/>
      <c r="G75" s="128"/>
      <c r="H75" s="128"/>
      <c r="I75" s="128"/>
      <c r="J75" s="128"/>
      <c r="K75" s="128"/>
      <c r="L75" s="128"/>
      <c r="M75" s="128"/>
      <c r="N75" s="128"/>
      <c r="O75" s="122"/>
      <c r="P75" s="122"/>
      <c r="Q75" s="122"/>
      <c r="R75" s="122"/>
      <c r="S75" s="122"/>
      <c r="T75" s="176"/>
      <c r="U75" s="177"/>
    </row>
    <row r="76" spans="1:21" ht="13.5" hidden="1">
      <c r="A76" s="127" t="s">
        <v>196</v>
      </c>
      <c r="B76" s="127" t="s">
        <v>181</v>
      </c>
      <c r="C76" s="68">
        <f>((C73*31)*((C74-C75)/1000)*0.25*0.8)</f>
        <v>0</v>
      </c>
      <c r="D76" s="68">
        <f>((D73*28)*((D74-D75)/1000)*0.25*0.8)</f>
        <v>0</v>
      </c>
      <c r="E76" s="68">
        <f>((E73*31)*((E74-E75)/1000)*0.25*0.8)</f>
        <v>0</v>
      </c>
      <c r="F76" s="68">
        <f>((F73*30)*((F74-F75)/1000)*0.25*0.8)</f>
        <v>0</v>
      </c>
      <c r="G76" s="68">
        <f t="shared" ref="G76:N76" si="81">((G73*31)*((G74-G75)/1000)*0.25*0.8)</f>
        <v>0</v>
      </c>
      <c r="H76" s="68">
        <f>((H73*30)*((H74-H75)/1000)*0.25*0.8)</f>
        <v>0</v>
      </c>
      <c r="I76" s="68">
        <f t="shared" si="81"/>
        <v>0</v>
      </c>
      <c r="J76" s="68">
        <f>((J73*31)*((J74-J75)/1000)*0.25*0.8)</f>
        <v>0</v>
      </c>
      <c r="K76" s="68">
        <f>((K73*30)*((K74-K75)/1000)*0.25*0.8)</f>
        <v>0</v>
      </c>
      <c r="L76" s="68">
        <f t="shared" si="81"/>
        <v>0</v>
      </c>
      <c r="M76" s="68">
        <f>((M73*30)*((M74-M75)/1000)*0.25*0.8)</f>
        <v>0</v>
      </c>
      <c r="N76" s="68">
        <f t="shared" si="81"/>
        <v>0</v>
      </c>
      <c r="O76" s="123"/>
      <c r="P76" s="123"/>
      <c r="Q76" s="123"/>
      <c r="R76" s="123"/>
      <c r="S76" s="123"/>
      <c r="T76" s="176"/>
      <c r="U76" s="168"/>
    </row>
    <row r="77" spans="1:21">
      <c r="A77" s="159" t="s">
        <v>379</v>
      </c>
      <c r="B77" s="159" t="s">
        <v>342</v>
      </c>
      <c r="C77" s="131">
        <f t="shared" ref="C77:N77" si="82">IF(C23=0,0,((C3*C18*(4186/1000000)*$F$100)+(C4*C19*(4186/1000000)*$F$100)+(C5*C20*(4186/1000000)*$F$100)+(C38*$F$112*1000))/(C23))</f>
        <v>0.62013870044133357</v>
      </c>
      <c r="D77" s="131">
        <f t="shared" si="82"/>
        <v>0.9040831535903372</v>
      </c>
      <c r="E77" s="131">
        <f t="shared" si="82"/>
        <v>0.61116245844812545</v>
      </c>
      <c r="F77" s="131">
        <f t="shared" si="82"/>
        <v>0.6064481964241536</v>
      </c>
      <c r="G77" s="131">
        <f t="shared" si="82"/>
        <v>0.63572976621734167</v>
      </c>
      <c r="H77" s="131">
        <f t="shared" si="82"/>
        <v>0.61882888350306875</v>
      </c>
      <c r="I77" s="131">
        <f t="shared" si="82"/>
        <v>0.61839470090995508</v>
      </c>
      <c r="J77" s="131">
        <f t="shared" si="82"/>
        <v>0.60165259336469623</v>
      </c>
      <c r="K77" s="131">
        <f t="shared" si="82"/>
        <v>0.58044120202373251</v>
      </c>
      <c r="L77" s="131">
        <f t="shared" si="82"/>
        <v>0.6390978842993843</v>
      </c>
      <c r="M77" s="131">
        <f t="shared" si="82"/>
        <v>0.57987349968968882</v>
      </c>
      <c r="N77" s="131">
        <f t="shared" si="82"/>
        <v>0.6452806326246654</v>
      </c>
      <c r="O77" s="131">
        <f>IF(O23=0,"0",(SUMPRODUCT(C23:N23,C77:N77)/O23))</f>
        <v>0.62310478382894863</v>
      </c>
      <c r="P77" s="131">
        <f>IF(P23=0,"0",(SUMPRODUCT(C23:E23,C77:E77)/P23))</f>
        <v>0.65830552440562651</v>
      </c>
      <c r="Q77" s="131">
        <f>IF(Q23=0,"0",(SUMPRODUCT(F23:H23,F77:H77)/Q23))</f>
        <v>0.62015057471690804</v>
      </c>
      <c r="R77" s="131">
        <f>IF(R23=0,"0",(SUMPRODUCT(I23:K23,I77:K77)/R23))</f>
        <v>0.60228163199590223</v>
      </c>
      <c r="S77" s="131">
        <f>IF(S23=0,"0",(SUMPRODUCT(L23:N23,L77:N77)/S23))</f>
        <v>0.62280973702951825</v>
      </c>
      <c r="T77" s="169"/>
      <c r="U77" s="168"/>
    </row>
    <row r="78" spans="1:21">
      <c r="A78" s="159" t="s">
        <v>380</v>
      </c>
      <c r="B78" s="159" t="s">
        <v>342</v>
      </c>
      <c r="C78" s="134">
        <f t="shared" ref="C78:N78" si="83">IF(C24=0,0,((C7*C18*(4186/1000000)*$F$100)+(C8*C19*(4186/1000000)*$F$100)+(C9*C20*(4186/1000000)*$F$100)+(C39*$F$112*1000))/(C24))</f>
        <v>0</v>
      </c>
      <c r="D78" s="134">
        <f t="shared" si="83"/>
        <v>0</v>
      </c>
      <c r="E78" s="134">
        <f t="shared" si="83"/>
        <v>0</v>
      </c>
      <c r="F78" s="134">
        <f t="shared" si="83"/>
        <v>0</v>
      </c>
      <c r="G78" s="134">
        <f t="shared" si="83"/>
        <v>0</v>
      </c>
      <c r="H78" s="134">
        <f t="shared" si="83"/>
        <v>0</v>
      </c>
      <c r="I78" s="134">
        <f t="shared" si="83"/>
        <v>0</v>
      </c>
      <c r="J78" s="134">
        <f t="shared" si="83"/>
        <v>0</v>
      </c>
      <c r="K78" s="134">
        <f t="shared" si="83"/>
        <v>0</v>
      </c>
      <c r="L78" s="134">
        <f t="shared" si="83"/>
        <v>0</v>
      </c>
      <c r="M78" s="134">
        <f t="shared" si="83"/>
        <v>0</v>
      </c>
      <c r="N78" s="134">
        <f t="shared" si="83"/>
        <v>0</v>
      </c>
      <c r="O78" s="131" t="str">
        <f>IF(O24=0,"0",(SUMPRODUCT(C24:N24,C78:N78)/O24))</f>
        <v>0</v>
      </c>
      <c r="P78" s="131" t="str">
        <f>IF(P24=0,"0",(SUMPRODUCT(C24:E24,C78:E78)/P24))</f>
        <v>0</v>
      </c>
      <c r="Q78" s="131" t="str">
        <f>IF(Q24=0,"0",(SUMPRODUCT(F24:H24,F78:H78)/Q24))</f>
        <v>0</v>
      </c>
      <c r="R78" s="131" t="str">
        <f>IF(R24=0,"0",(SUMPRODUCT(I24:K24,I78:K78)/R24))</f>
        <v>0</v>
      </c>
      <c r="S78" s="131" t="str">
        <f>IF(S24=0,"0",(SUMPRODUCT(L24:N24,L78:N78)/S24))</f>
        <v>0</v>
      </c>
      <c r="T78" s="169"/>
      <c r="U78" s="168"/>
    </row>
    <row r="79" spans="1:21">
      <c r="A79" s="156" t="s">
        <v>381</v>
      </c>
      <c r="B79" s="159" t="s">
        <v>342</v>
      </c>
      <c r="C79" s="131">
        <f t="shared" ref="C79:N79" si="84">IF(C25=0,0,((C11*C18*(4186/1000000)*$F$100)+(C12*C19*(4186/1000000)*$F$100)+(C13*C20*(4186/1000000)*$F$100)+(C40*$F$112*1000))/(C25))</f>
        <v>0.62013870044133357</v>
      </c>
      <c r="D79" s="131">
        <f t="shared" si="84"/>
        <v>0.9040831535903372</v>
      </c>
      <c r="E79" s="131">
        <f t="shared" si="84"/>
        <v>0.61116245844812545</v>
      </c>
      <c r="F79" s="131">
        <f t="shared" si="84"/>
        <v>0.6064481964241536</v>
      </c>
      <c r="G79" s="131">
        <f t="shared" si="84"/>
        <v>0.63572976621734167</v>
      </c>
      <c r="H79" s="131">
        <f t="shared" si="84"/>
        <v>0.61882888350306875</v>
      </c>
      <c r="I79" s="131">
        <f t="shared" si="84"/>
        <v>0.61839470090995508</v>
      </c>
      <c r="J79" s="131">
        <f t="shared" si="84"/>
        <v>0.60165259336469623</v>
      </c>
      <c r="K79" s="131">
        <f t="shared" si="84"/>
        <v>0.58044120202373251</v>
      </c>
      <c r="L79" s="131">
        <f t="shared" si="84"/>
        <v>0.6390978842993843</v>
      </c>
      <c r="M79" s="131">
        <f t="shared" si="84"/>
        <v>0.57987349968968882</v>
      </c>
      <c r="N79" s="131">
        <f t="shared" si="84"/>
        <v>0.65014994742653043</v>
      </c>
      <c r="O79" s="131">
        <f>IF(O25=0,"0",(SUMPRODUCT(C25:N25,C79:N79)/O25))</f>
        <v>0.62354093724705761</v>
      </c>
      <c r="P79" s="131">
        <f>IF(P25=0,"0",(SUMPRODUCT(C25:E25,C79:E79)/P25))</f>
        <v>0.65830552440562651</v>
      </c>
      <c r="Q79" s="131">
        <f>IF(Q25=0,"0",(SUMPRODUCT(F25:H25,F79:H79)/Q25))</f>
        <v>0.62015057471690804</v>
      </c>
      <c r="R79" s="131">
        <f>IF(R25=0,"0",(SUMPRODUCT(I25:K25,I79:K79)/R25))</f>
        <v>0.60228163199590223</v>
      </c>
      <c r="S79" s="131">
        <f>IF(S25=0,"0",(SUMPRODUCT(L25:N25,L79:N79)/S25))</f>
        <v>0.62464749633385908</v>
      </c>
      <c r="T79" s="169"/>
      <c r="U79" s="168"/>
    </row>
    <row r="80" spans="1:21" ht="13.5">
      <c r="A80" s="146" t="s">
        <v>383</v>
      </c>
      <c r="B80" s="146" t="s">
        <v>306</v>
      </c>
      <c r="C80" s="68">
        <f>((C3*C18*(4186/1000000)*$F$100)+(C4*C19*(4186/1000000)*$F$100)+(C5*C20*(4186/1000000)*$F$100)+(C6*C21*(4186/1000000)*$F$100)+(C26*$F$101)+(C27*$F$102)+(C28*$F$103)+(C29*$F$104)+(C30*$F$106)+(C31*$F$107)+(C32*$F$109)+(C69*$F$108)+(C70*$F$115)+(C71*$F$104)+(C72*$F$116)+(C76*$F$117))/1000</f>
        <v>5553.1239886951998</v>
      </c>
      <c r="D80" s="68">
        <f t="shared" ref="D80:M80" si="85">((D3*D18*(4186/1000000)*$F$100)+(D4*D19*(4186/1000000)*$F$100)+(D5*D20*(4186/1000000)*$F$100)+(D6*D21*(4186/1000000)*$F$100)+(D26*$F$101)+(D27*$F$102)+(D28*$F$103)+(D29*$F$104)+(D30*$F$106)+(D31*$F$107)+(D32*$F$109)+(D69*$F$108)+(D70*$F$115)+(D71*$F$104)+(D72*$F$116)+(D76*$F$117))/1000</f>
        <v>4379.7930380775997</v>
      </c>
      <c r="E80" s="68">
        <f t="shared" si="85"/>
        <v>11076.7639534796</v>
      </c>
      <c r="F80" s="68">
        <f t="shared" si="85"/>
        <v>9882.4969434016784</v>
      </c>
      <c r="G80" s="68">
        <f t="shared" si="85"/>
        <v>9832.6547942534398</v>
      </c>
      <c r="H80" s="68">
        <f t="shared" si="85"/>
        <v>9689.2606245834377</v>
      </c>
      <c r="I80" s="68">
        <f t="shared" si="85"/>
        <v>10927.690401993679</v>
      </c>
      <c r="J80" s="68">
        <f t="shared" si="85"/>
        <v>9536.9825081417603</v>
      </c>
      <c r="K80" s="68">
        <f t="shared" si="85"/>
        <v>7218.2322098579189</v>
      </c>
      <c r="L80" s="68">
        <f t="shared" si="85"/>
        <v>7638.4448843867995</v>
      </c>
      <c r="M80" s="68">
        <f t="shared" si="85"/>
        <v>7146.4295442143994</v>
      </c>
      <c r="N80" s="68">
        <f t="shared" ref="N80:S80" si="86">((N3*N18*(4186/1000000)*$F$100)+(N4*N19*(4186/1000000)*$F$100)+(N5*N20*(4186/1000000)*$F$100)+(N6*N21*(4186/1000000)*$F$100)+(N26*$F$101)+(N27*$F$102)+(N28*$F$103)+(N29*$F$104)+(N30*$F$106)+(N31*$F$107)+(N32*$F$109)+(N69*$F$108)+(N70*$F$115)+(N71*$F$104)+(N72*$F$116)+(N76*$F$117))/1000</f>
        <v>9549.2087604059216</v>
      </c>
      <c r="O80" s="68">
        <f t="shared" si="86"/>
        <v>10625.419292549999</v>
      </c>
      <c r="P80" s="68">
        <f t="shared" si="86"/>
        <v>21009.680980252397</v>
      </c>
      <c r="Q80" s="68">
        <f t="shared" si="86"/>
        <v>29404.412362238552</v>
      </c>
      <c r="R80" s="68">
        <f t="shared" si="86"/>
        <v>27682.905119993364</v>
      </c>
      <c r="S80" s="68">
        <f t="shared" si="86"/>
        <v>24334.083189007117</v>
      </c>
      <c r="T80" s="168"/>
    </row>
    <row r="81" spans="1:21" ht="13.5">
      <c r="A81" s="146" t="s">
        <v>384</v>
      </c>
      <c r="B81" s="146" t="s">
        <v>306</v>
      </c>
      <c r="C81" s="68">
        <f>(((C7*C18*(4186/1000000)*$F$100))+((C8*C19*(4186/1000000)*$F$100))+((C9*C20*(4186/1000000))+((C10*C21*(4186/1000000)*$F$100)))/1000)</f>
        <v>0</v>
      </c>
      <c r="D81" s="68">
        <f t="shared" ref="D81:M81" si="87">(((D7*D18*(4186/1000000)*$F$100)+(D8*D19*(4186/1000000)*$F$100)+(D9*D20*(4186/1000000)+(D10*D21*(4186/1000000)*$F$100)))/1000)</f>
        <v>0</v>
      </c>
      <c r="E81" s="68">
        <f t="shared" si="87"/>
        <v>0</v>
      </c>
      <c r="F81" s="68">
        <f t="shared" si="87"/>
        <v>0</v>
      </c>
      <c r="G81" s="68">
        <f t="shared" si="87"/>
        <v>0</v>
      </c>
      <c r="H81" s="68">
        <f t="shared" si="87"/>
        <v>0</v>
      </c>
      <c r="I81" s="68">
        <f t="shared" si="87"/>
        <v>0</v>
      </c>
      <c r="J81" s="68">
        <f t="shared" si="87"/>
        <v>0</v>
      </c>
      <c r="K81" s="68">
        <f t="shared" si="87"/>
        <v>0</v>
      </c>
      <c r="L81" s="68">
        <f t="shared" si="87"/>
        <v>0</v>
      </c>
      <c r="M81" s="68">
        <f t="shared" si="87"/>
        <v>0</v>
      </c>
      <c r="N81" s="68">
        <f t="shared" ref="N81:S81" si="88">(((N7*N18*(4186/1000000)*$F$100)+(N8*N19*(4186/1000000)*$F$100)+(N9*N20*(4186/1000000)+(N10*N21*(4186/1000000)*$F$100)))/1000)</f>
        <v>64.1609726105048</v>
      </c>
      <c r="O81" s="68">
        <f>(((O7*O18*(4186/1000000)*$F$100)+(O8*O19*(4186/1000000)*$F$100)+(O9*O20*(4186/1000000)+(O10*O21*(4186/1000000)*$F$100)))/1000)</f>
        <v>0</v>
      </c>
      <c r="P81" s="68">
        <f t="shared" si="88"/>
        <v>0</v>
      </c>
      <c r="Q81" s="68">
        <f t="shared" si="88"/>
        <v>0</v>
      </c>
      <c r="R81" s="68">
        <f t="shared" si="88"/>
        <v>0</v>
      </c>
      <c r="S81" s="68">
        <f t="shared" si="88"/>
        <v>64.1609726105048</v>
      </c>
      <c r="T81" s="168"/>
    </row>
    <row r="82" spans="1:21" s="145" customFormat="1" ht="13.5">
      <c r="A82" s="202" t="s">
        <v>382</v>
      </c>
      <c r="B82" s="203" t="s">
        <v>377</v>
      </c>
      <c r="C82" s="203">
        <f>SUM(C80:C81)</f>
        <v>5553.1239886951998</v>
      </c>
      <c r="D82" s="203">
        <f t="shared" ref="D82:N82" si="89">SUM(D80:D81)</f>
        <v>4379.7930380775997</v>
      </c>
      <c r="E82" s="203">
        <f t="shared" si="89"/>
        <v>11076.7639534796</v>
      </c>
      <c r="F82" s="203">
        <f t="shared" si="89"/>
        <v>9882.4969434016784</v>
      </c>
      <c r="G82" s="203">
        <f t="shared" si="89"/>
        <v>9832.6547942534398</v>
      </c>
      <c r="H82" s="203">
        <f t="shared" si="89"/>
        <v>9689.2606245834377</v>
      </c>
      <c r="I82" s="203">
        <f t="shared" si="89"/>
        <v>10927.690401993679</v>
      </c>
      <c r="J82" s="203">
        <f>SUM(J80:J81)</f>
        <v>9536.9825081417603</v>
      </c>
      <c r="K82" s="203">
        <f t="shared" si="89"/>
        <v>7218.2322098579189</v>
      </c>
      <c r="L82" s="203">
        <f t="shared" si="89"/>
        <v>7638.4448843867995</v>
      </c>
      <c r="M82" s="203">
        <f t="shared" si="89"/>
        <v>7146.4295442143994</v>
      </c>
      <c r="N82" s="203">
        <f t="shared" si="89"/>
        <v>9613.3697330164268</v>
      </c>
      <c r="O82" s="203">
        <f t="shared" ref="O82:O85" si="90">SUM(C82:N82)</f>
        <v>102495.24262410194</v>
      </c>
      <c r="P82" s="203">
        <f t="shared" ref="P82:P84" si="91">SUM(C82:E82)</f>
        <v>21009.6809802524</v>
      </c>
      <c r="Q82" s="203">
        <f t="shared" ref="Q82:Q85" si="92">SUM(F82:H82)</f>
        <v>29404.41236223856</v>
      </c>
      <c r="R82" s="203">
        <f t="shared" ref="R82:R85" si="93">SUM(I82:K82)</f>
        <v>27682.90511999336</v>
      </c>
      <c r="S82" s="203">
        <f t="shared" ref="S82:S85" si="94">SUM(L82:N82)</f>
        <v>24398.244161617626</v>
      </c>
      <c r="T82" s="168"/>
      <c r="U82" s="157"/>
    </row>
    <row r="83" spans="1:21" ht="13.5">
      <c r="A83" s="146" t="s">
        <v>385</v>
      </c>
      <c r="B83" s="146" t="s">
        <v>306</v>
      </c>
      <c r="C83" s="68">
        <f>((C23*C77)+(C26*$F$101)+(C27*$F$102)+(C28*$F$103)+(C29*$F$104)+(C30*$F$106)+(C31*$F$107)+(C32*$F$109)+(C69*$F$108)+(C70*$F$115)+(C71*$F$104)+(C72*$F$116)+(C76*$F$117))/1000</f>
        <v>6291.7328286151978</v>
      </c>
      <c r="D83" s="68">
        <f t="shared" ref="D83:N83" si="95">((D23*D77)+(D26*$F$101)+(D27*$F$102)+(D28*$F$103)+(D29*$F$104)+(D30*$F$106)+(D31*$F$107)+(D32*$F$109)+(D69*$F$108)+(D70*$F$115)+(D71*$F$104)+(D72*$F$116)+(D76*$F$117))/1000</f>
        <v>4904.4647795175997</v>
      </c>
      <c r="E83" s="68">
        <f>((E23*E77)+(E26*$F$101)+(E27*$F$102)+(E28*$F$103)+(E29*$F$104)+(E30*$F$106)+(E31*$F$107)+(E32*$F$109)+(E69*$F$108)+(E70*$F$115)+(E71*$F$104)+(E72*$F$116)+(E76*$F$117))/1000</f>
        <v>12308.448460896561</v>
      </c>
      <c r="F83" s="68">
        <f t="shared" si="95"/>
        <v>11012.715239132878</v>
      </c>
      <c r="G83" s="68">
        <f>((G23*G77)+(G26*$F$101)+(G27*$F$102)+(G28*$F$103)+(G29*$F$104)+(G30*$F$106)+(G31*$F$107)+(G32*$F$109)+(G69*$F$108)+(G70*$F$115)+(G71*$F$104)+(G72*$F$116)+(G76*$F$117))/1000</f>
        <v>11079.225563980801</v>
      </c>
      <c r="H83" s="68">
        <f t="shared" si="95"/>
        <v>11002.203478189838</v>
      </c>
      <c r="I83" s="68">
        <f t="shared" si="95"/>
        <v>12430.279112776399</v>
      </c>
      <c r="J83" s="68">
        <f t="shared" si="95"/>
        <v>10721.68259896352</v>
      </c>
      <c r="K83" s="68">
        <f t="shared" si="95"/>
        <v>8262.2200373939195</v>
      </c>
      <c r="L83" s="68">
        <f t="shared" si="95"/>
        <v>8630.7023392955998</v>
      </c>
      <c r="M83" s="68">
        <f t="shared" si="95"/>
        <v>8074.8846886223992</v>
      </c>
      <c r="N83" s="68">
        <f t="shared" si="95"/>
        <v>10656.96229938832</v>
      </c>
      <c r="O83" s="68">
        <f t="shared" si="90"/>
        <v>115375.52142677305</v>
      </c>
      <c r="P83" s="68">
        <f t="shared" si="91"/>
        <v>23504.646069029361</v>
      </c>
      <c r="Q83" s="68">
        <f t="shared" si="92"/>
        <v>33094.144281303517</v>
      </c>
      <c r="R83" s="68">
        <f t="shared" si="93"/>
        <v>31414.181749133837</v>
      </c>
      <c r="S83" s="68">
        <f t="shared" si="94"/>
        <v>27362.549327306318</v>
      </c>
      <c r="T83" s="168"/>
    </row>
    <row r="84" spans="1:21" ht="13.5">
      <c r="A84" s="146" t="s">
        <v>386</v>
      </c>
      <c r="B84" s="146" t="s">
        <v>306</v>
      </c>
      <c r="C84" s="68">
        <f>(C24*C78)</f>
        <v>0</v>
      </c>
      <c r="D84" s="68">
        <f t="shared" ref="D84:N84" si="96">(D24*D78)</f>
        <v>0</v>
      </c>
      <c r="E84" s="68">
        <f t="shared" si="96"/>
        <v>0</v>
      </c>
      <c r="F84" s="68">
        <f t="shared" si="96"/>
        <v>0</v>
      </c>
      <c r="G84" s="68">
        <f t="shared" si="96"/>
        <v>0</v>
      </c>
      <c r="H84" s="68">
        <f t="shared" si="96"/>
        <v>0</v>
      </c>
      <c r="I84" s="68">
        <f t="shared" si="96"/>
        <v>0</v>
      </c>
      <c r="J84" s="68">
        <f t="shared" si="96"/>
        <v>0</v>
      </c>
      <c r="K84" s="68">
        <f t="shared" si="96"/>
        <v>0</v>
      </c>
      <c r="L84" s="68">
        <f t="shared" si="96"/>
        <v>0</v>
      </c>
      <c r="M84" s="68">
        <f t="shared" si="96"/>
        <v>0</v>
      </c>
      <c r="N84" s="68">
        <f t="shared" si="96"/>
        <v>0</v>
      </c>
      <c r="O84" s="68">
        <f t="shared" si="90"/>
        <v>0</v>
      </c>
      <c r="P84" s="68">
        <f t="shared" si="91"/>
        <v>0</v>
      </c>
      <c r="Q84" s="68">
        <f t="shared" si="92"/>
        <v>0</v>
      </c>
      <c r="R84" s="68">
        <f t="shared" si="93"/>
        <v>0</v>
      </c>
      <c r="S84" s="68">
        <f t="shared" si="94"/>
        <v>0</v>
      </c>
      <c r="T84" s="168"/>
    </row>
    <row r="85" spans="1:21" s="145" customFormat="1" ht="13.5">
      <c r="A85" s="153" t="s">
        <v>387</v>
      </c>
      <c r="B85" s="124" t="s">
        <v>377</v>
      </c>
      <c r="C85" s="124">
        <f>SUM(C83:C84)</f>
        <v>6291.7328286151978</v>
      </c>
      <c r="D85" s="124">
        <f t="shared" ref="D85:N85" si="97">SUM(D83:D84)</f>
        <v>4904.4647795175997</v>
      </c>
      <c r="E85" s="124">
        <f t="shared" si="97"/>
        <v>12308.448460896561</v>
      </c>
      <c r="F85" s="124">
        <f t="shared" si="97"/>
        <v>11012.715239132878</v>
      </c>
      <c r="G85" s="124">
        <f t="shared" si="97"/>
        <v>11079.225563980801</v>
      </c>
      <c r="H85" s="124">
        <f t="shared" si="97"/>
        <v>11002.203478189838</v>
      </c>
      <c r="I85" s="124">
        <f t="shared" si="97"/>
        <v>12430.279112776399</v>
      </c>
      <c r="J85" s="124">
        <f t="shared" si="97"/>
        <v>10721.68259896352</v>
      </c>
      <c r="K85" s="124">
        <f t="shared" si="97"/>
        <v>8262.2200373939195</v>
      </c>
      <c r="L85" s="124">
        <f t="shared" si="97"/>
        <v>8630.7023392955998</v>
      </c>
      <c r="M85" s="124">
        <f t="shared" si="97"/>
        <v>8074.8846886223992</v>
      </c>
      <c r="N85" s="124">
        <f t="shared" si="97"/>
        <v>10656.96229938832</v>
      </c>
      <c r="O85" s="124">
        <f t="shared" si="90"/>
        <v>115375.52142677305</v>
      </c>
      <c r="P85" s="124">
        <f>SUM(C85:E85)</f>
        <v>23504.646069029361</v>
      </c>
      <c r="Q85" s="124">
        <f t="shared" si="92"/>
        <v>33094.144281303517</v>
      </c>
      <c r="R85" s="124">
        <f t="shared" si="93"/>
        <v>31414.181749133837</v>
      </c>
      <c r="S85" s="124">
        <f t="shared" si="94"/>
        <v>27362.549327306318</v>
      </c>
      <c r="T85" s="168"/>
      <c r="U85" s="157"/>
    </row>
    <row r="86" spans="1:21" ht="13.5">
      <c r="A86" s="130" t="s">
        <v>388</v>
      </c>
      <c r="B86" s="146" t="s">
        <v>306</v>
      </c>
      <c r="C86" s="68">
        <f>(C33*$F$110)+(C38*$F$112)+(C41*$F$113)</f>
        <v>1050.5857269599999</v>
      </c>
      <c r="D86" s="68">
        <f t="shared" ref="D86:N86" si="98">(D33*$F$110)+(D38*$F$112)+(D41*$F$113)</f>
        <v>765.49600511999915</v>
      </c>
      <c r="E86" s="68">
        <f t="shared" si="98"/>
        <v>1796.3599363199999</v>
      </c>
      <c r="F86" s="68">
        <f t="shared" si="98"/>
        <v>1702.7369330400002</v>
      </c>
      <c r="G86" s="68">
        <f t="shared" si="98"/>
        <v>1806.7581100799998</v>
      </c>
      <c r="H86" s="68">
        <f t="shared" si="98"/>
        <v>1863.0347313599998</v>
      </c>
      <c r="I86" s="68">
        <f t="shared" si="98"/>
        <v>2019.3975806399999</v>
      </c>
      <c r="J86" s="68">
        <f t="shared" si="98"/>
        <v>1743.0675659999999</v>
      </c>
      <c r="K86" s="68">
        <f t="shared" si="98"/>
        <v>1410.08175792</v>
      </c>
      <c r="L86" s="68">
        <f t="shared" si="98"/>
        <v>1411.0864257599999</v>
      </c>
      <c r="M86" s="68">
        <f t="shared" si="98"/>
        <v>1357.2865321199999</v>
      </c>
      <c r="N86" s="68">
        <f t="shared" si="98"/>
        <v>1588.81368888</v>
      </c>
      <c r="O86" s="78">
        <f>SUM(C86:N86)</f>
        <v>18514.704994199998</v>
      </c>
      <c r="P86" s="78">
        <f>SUM(C86:E86)</f>
        <v>3612.4416683999989</v>
      </c>
      <c r="Q86" s="78">
        <f>SUM(F86:H86)</f>
        <v>5372.52977448</v>
      </c>
      <c r="R86" s="78">
        <f>SUM(I86:K86)</f>
        <v>5172.5469045600003</v>
      </c>
      <c r="S86" s="78">
        <f>SUM(L86:N86)</f>
        <v>4357.1866467599993</v>
      </c>
      <c r="T86" s="168"/>
    </row>
    <row r="87" spans="1:21" ht="13.5">
      <c r="A87" s="130" t="s">
        <v>389</v>
      </c>
      <c r="B87" s="146" t="s">
        <v>306</v>
      </c>
      <c r="C87" s="68">
        <f>(C39*$F$112)</f>
        <v>0</v>
      </c>
      <c r="D87" s="68">
        <f t="shared" ref="D87:N87" si="99">(D39*$F$112)</f>
        <v>0</v>
      </c>
      <c r="E87" s="68">
        <f t="shared" si="99"/>
        <v>0</v>
      </c>
      <c r="F87" s="68">
        <f t="shared" si="99"/>
        <v>0</v>
      </c>
      <c r="G87" s="68">
        <f t="shared" si="99"/>
        <v>0</v>
      </c>
      <c r="H87" s="68">
        <f t="shared" si="99"/>
        <v>0</v>
      </c>
      <c r="I87" s="68">
        <f t="shared" si="99"/>
        <v>0</v>
      </c>
      <c r="J87" s="68">
        <f t="shared" si="99"/>
        <v>0</v>
      </c>
      <c r="K87" s="68">
        <f t="shared" si="99"/>
        <v>0</v>
      </c>
      <c r="L87" s="68">
        <f t="shared" si="99"/>
        <v>0</v>
      </c>
      <c r="M87" s="68">
        <f t="shared" si="99"/>
        <v>0</v>
      </c>
      <c r="N87" s="68">
        <f t="shared" si="99"/>
        <v>9.1607483564999992</v>
      </c>
      <c r="O87" s="78">
        <f t="shared" ref="O87:O88" si="100">SUM(C87:N87)</f>
        <v>9.1607483564999992</v>
      </c>
      <c r="P87" s="78">
        <f t="shared" ref="P87:P88" si="101">SUM(C87:E87)</f>
        <v>0</v>
      </c>
      <c r="Q87" s="78">
        <f t="shared" ref="Q87:Q88" si="102">SUM(F87:H87)</f>
        <v>0</v>
      </c>
      <c r="R87" s="78">
        <f t="shared" ref="R87:R88" si="103">SUM(I87:K87)</f>
        <v>0</v>
      </c>
      <c r="S87" s="78">
        <f t="shared" ref="S87:S88" si="104">SUM(L87:N87)</f>
        <v>9.1607483564999992</v>
      </c>
      <c r="T87" s="168"/>
    </row>
    <row r="88" spans="1:21" s="145" customFormat="1" ht="13.5">
      <c r="A88" s="202" t="s">
        <v>390</v>
      </c>
      <c r="B88" s="203" t="s">
        <v>377</v>
      </c>
      <c r="C88" s="203">
        <f>SUM(C86:C87)</f>
        <v>1050.5857269599999</v>
      </c>
      <c r="D88" s="203">
        <f t="shared" ref="D88:N88" si="105">SUM(D86:D87)</f>
        <v>765.49600511999915</v>
      </c>
      <c r="E88" s="203">
        <f t="shared" si="105"/>
        <v>1796.3599363199999</v>
      </c>
      <c r="F88" s="203">
        <f t="shared" si="105"/>
        <v>1702.7369330400002</v>
      </c>
      <c r="G88" s="203">
        <f t="shared" si="105"/>
        <v>1806.7581100799998</v>
      </c>
      <c r="H88" s="203">
        <f t="shared" si="105"/>
        <v>1863.0347313599998</v>
      </c>
      <c r="I88" s="203">
        <f t="shared" si="105"/>
        <v>2019.3975806399999</v>
      </c>
      <c r="J88" s="203">
        <f t="shared" si="105"/>
        <v>1743.0675659999999</v>
      </c>
      <c r="K88" s="203">
        <f t="shared" si="105"/>
        <v>1410.08175792</v>
      </c>
      <c r="L88" s="203">
        <f t="shared" si="105"/>
        <v>1411.0864257599999</v>
      </c>
      <c r="M88" s="203">
        <f t="shared" si="105"/>
        <v>1357.2865321199999</v>
      </c>
      <c r="N88" s="203">
        <f t="shared" si="105"/>
        <v>1597.9744372365001</v>
      </c>
      <c r="O88" s="204">
        <f t="shared" si="100"/>
        <v>18523.865742556496</v>
      </c>
      <c r="P88" s="204">
        <f t="shared" si="101"/>
        <v>3612.4416683999989</v>
      </c>
      <c r="Q88" s="204">
        <f t="shared" si="102"/>
        <v>5372.52977448</v>
      </c>
      <c r="R88" s="204">
        <f t="shared" si="103"/>
        <v>5172.5469045600003</v>
      </c>
      <c r="S88" s="204">
        <f t="shared" si="104"/>
        <v>4366.3473951164997</v>
      </c>
      <c r="T88" s="168"/>
      <c r="U88" s="157"/>
    </row>
    <row r="89" spans="1:21" s="145" customFormat="1" ht="12.75">
      <c r="A89" s="155" t="s">
        <v>397</v>
      </c>
      <c r="B89" s="160" t="s">
        <v>378</v>
      </c>
      <c r="C89" s="146">
        <f>'Energy, GHG'!C80*1000/'Production, Raw Mat'!C$3</f>
        <v>577.8526389726627</v>
      </c>
      <c r="D89" s="146">
        <f>'Energy, GHG'!D80*1000/'Production, Raw Mat'!D$3</f>
        <v>694.09458996652722</v>
      </c>
      <c r="E89" s="146">
        <f>'Energy, GHG'!E80*1000/'Production, Raw Mat'!E$3</f>
        <v>624.64222225905803</v>
      </c>
      <c r="F89" s="146">
        <f>'Energy, GHG'!F80*1000/'Production, Raw Mat'!F$3</f>
        <v>625.65445021970083</v>
      </c>
      <c r="G89" s="146">
        <f>'Energy, GHG'!G80*1000/'Production, Raw Mat'!G$3</f>
        <v>611.03511955333033</v>
      </c>
      <c r="H89" s="146">
        <f>'Energy, GHG'!H80*1000/'Production, Raw Mat'!H$3</f>
        <v>590.5199460436562</v>
      </c>
      <c r="I89" s="146">
        <f>'Energy, GHG'!I80*1000/'Production, Raw Mat'!I$3</f>
        <v>592.14797126156031</v>
      </c>
      <c r="J89" s="146">
        <f>'Energy, GHG'!J80*1000/'Production, Raw Mat'!J$3</f>
        <v>589.44378593232841</v>
      </c>
      <c r="K89" s="146">
        <f>'Energy, GHG'!K80*1000/'Production, Raw Mat'!K$3</f>
        <v>594.74126470212002</v>
      </c>
      <c r="L89" s="146">
        <f>'Energy, GHG'!L80*1000/'Production, Raw Mat'!L$3</f>
        <v>612.79921275120705</v>
      </c>
      <c r="M89" s="146">
        <f>'Energy, GHG'!M80*1000/'Production, Raw Mat'!M$3</f>
        <v>579.87221225364374</v>
      </c>
      <c r="N89" s="146">
        <f>'Energy, GHG'!N80*1000/'Production, Raw Mat'!N$3</f>
        <v>612.90397930136157</v>
      </c>
      <c r="O89" s="146">
        <f>'Energy, GHG'!O80*1000/'Production, Raw Mat'!O$3</f>
        <v>62.839498173967982</v>
      </c>
      <c r="P89" s="146">
        <f>'Energy, GHG'!P80*1000/'Production, Raw Mat'!P$3</f>
        <v>624.30363103097454</v>
      </c>
      <c r="Q89" s="146">
        <f>'Energy, GHG'!Q80*1000/'Production, Raw Mat'!Q$3</f>
        <v>608.84661735376562</v>
      </c>
      <c r="R89" s="146">
        <f>'Energy, GHG'!R80*1000/'Production, Raw Mat'!R$3</f>
        <v>591.8854450664403</v>
      </c>
      <c r="S89" s="146">
        <f>'Energy, GHG'!S80*1000/'Production, Raw Mat'!S$3</f>
        <v>602.78751326011991</v>
      </c>
      <c r="T89" s="168"/>
      <c r="U89" s="157"/>
    </row>
    <row r="90" spans="1:21" s="145" customFormat="1" ht="12.75">
      <c r="A90" s="155" t="s">
        <v>391</v>
      </c>
      <c r="B90" s="160" t="s">
        <v>378</v>
      </c>
      <c r="C90" s="146" t="e">
        <f>'Energy, GHG'!C81*1000/'Production, Raw Mat'!C$4</f>
        <v>#DIV/0!</v>
      </c>
      <c r="D90" s="146" t="e">
        <f>'Energy, GHG'!D81*1000/'Production, Raw Mat'!D$4</f>
        <v>#DIV/0!</v>
      </c>
      <c r="E90" s="146" t="e">
        <f>'Energy, GHG'!E81*1000/'Production, Raw Mat'!E$4</f>
        <v>#DIV/0!</v>
      </c>
      <c r="F90" s="146" t="e">
        <f>'Energy, GHG'!F81*1000/'Production, Raw Mat'!F$4</f>
        <v>#DIV/0!</v>
      </c>
      <c r="G90" s="146" t="e">
        <f>'Energy, GHG'!G81*1000/'Production, Raw Mat'!G$4</f>
        <v>#DIV/0!</v>
      </c>
      <c r="H90" s="146" t="e">
        <f>'Energy, GHG'!H81*1000/'Production, Raw Mat'!H$4</f>
        <v>#DIV/0!</v>
      </c>
      <c r="I90" s="146" t="e">
        <f>'Energy, GHG'!I81*1000/'Production, Raw Mat'!I$4</f>
        <v>#DIV/0!</v>
      </c>
      <c r="J90" s="146" t="e">
        <f>'Energy, GHG'!J81*1000/'Production, Raw Mat'!J$4</f>
        <v>#DIV/0!</v>
      </c>
      <c r="K90" s="146" t="e">
        <f>'Energy, GHG'!K81*1000/'Production, Raw Mat'!K$4</f>
        <v>#DIV/0!</v>
      </c>
      <c r="L90" s="146" t="e">
        <f>'Energy, GHG'!L81*1000/'Production, Raw Mat'!L$4</f>
        <v>#DIV/0!</v>
      </c>
      <c r="M90" s="146">
        <f>'Energy, GHG'!M81*1000/'Production, Raw Mat'!M$3</f>
        <v>0</v>
      </c>
      <c r="N90" s="146">
        <f>'Energy, GHG'!N81*1000/'Production, Raw Mat'!N$3</f>
        <v>4.1180915000912011</v>
      </c>
      <c r="O90" s="146">
        <f>'Energy, GHG'!O81*1000/'Production, Raw Mat'!O$3</f>
        <v>0</v>
      </c>
      <c r="P90" s="146">
        <f>'Energy, GHG'!P81*1000/'Production, Raw Mat'!P$3</f>
        <v>0</v>
      </c>
      <c r="Q90" s="146">
        <f>'Energy, GHG'!Q81*1000/'Production, Raw Mat'!Q$3</f>
        <v>0</v>
      </c>
      <c r="R90" s="146">
        <f>'Energy, GHG'!R81*1000/'Production, Raw Mat'!R$3</f>
        <v>0</v>
      </c>
      <c r="S90" s="146">
        <f>'Energy, GHG'!S81*1000/'Production, Raw Mat'!S$3</f>
        <v>1.5893523839726338</v>
      </c>
      <c r="T90" s="168"/>
      <c r="U90" s="157"/>
    </row>
    <row r="91" spans="1:21" s="145" customFormat="1" ht="12.75">
      <c r="A91" s="203" t="s">
        <v>392</v>
      </c>
      <c r="B91" s="206" t="s">
        <v>183</v>
      </c>
      <c r="C91" s="203">
        <f>'Energy, GHG'!C82*1000/'Production, Raw Mat'!C$5</f>
        <v>577.8526389726627</v>
      </c>
      <c r="D91" s="203">
        <f>'Energy, GHG'!D82*1000/'Production, Raw Mat'!D$5</f>
        <v>694.09458996652722</v>
      </c>
      <c r="E91" s="203">
        <f>'Energy, GHG'!E82*1000/'Production, Raw Mat'!E$5</f>
        <v>624.64222225905803</v>
      </c>
      <c r="F91" s="203">
        <f>'Energy, GHG'!F82*1000/'Production, Raw Mat'!F$5</f>
        <v>625.65445021970083</v>
      </c>
      <c r="G91" s="203">
        <f>'Energy, GHG'!G82*1000/'Production, Raw Mat'!G$5</f>
        <v>611.03511955333033</v>
      </c>
      <c r="H91" s="203">
        <f>'Energy, GHG'!H82*1000/'Production, Raw Mat'!H$5</f>
        <v>590.5199460436562</v>
      </c>
      <c r="I91" s="203">
        <f>'Energy, GHG'!I82*1000/'Production, Raw Mat'!I$5</f>
        <v>592.14797126156031</v>
      </c>
      <c r="J91" s="203">
        <f>'Energy, GHG'!J82*1000/'Production, Raw Mat'!J$5</f>
        <v>589.44378593232841</v>
      </c>
      <c r="K91" s="203">
        <f>'Energy, GHG'!K82*1000/'Production, Raw Mat'!K$5</f>
        <v>594.74126470212002</v>
      </c>
      <c r="L91" s="203">
        <f>'Energy, GHG'!L82*1000/'Production, Raw Mat'!L$5</f>
        <v>612.79921275120705</v>
      </c>
      <c r="M91" s="203">
        <f>'Energy, GHG'!M82*1000/'Production, Raw Mat'!M$3</f>
        <v>579.87221225364374</v>
      </c>
      <c r="N91" s="203">
        <f>'Energy, GHG'!N82*1000/'Production, Raw Mat'!N$5</f>
        <v>600.68783072256917</v>
      </c>
      <c r="O91" s="205">
        <f>'Energy, GHG'!O82*1000/'Production, Raw Mat'!O$5</f>
        <v>604.64926879979328</v>
      </c>
      <c r="P91" s="205">
        <f>'Energy, GHG'!P82*1000/'Production, Raw Mat'!P$5</f>
        <v>624.30363103097466</v>
      </c>
      <c r="Q91" s="205">
        <f>'Energy, GHG'!Q82*1000/'Production, Raw Mat'!Q$5</f>
        <v>608.84661735376585</v>
      </c>
      <c r="R91" s="205">
        <f>'Energy, GHG'!R82*1000/'Production, Raw Mat'!R$5</f>
        <v>591.88544506644018</v>
      </c>
      <c r="S91" s="205">
        <f>'Energy, GHG'!S82*1000/'Production, Raw Mat'!S$5</f>
        <v>598.09992453465156</v>
      </c>
      <c r="T91" s="169"/>
      <c r="U91" s="157"/>
    </row>
    <row r="92" spans="1:21" s="145" customFormat="1" ht="12.75">
      <c r="A92" s="155" t="s">
        <v>398</v>
      </c>
      <c r="B92" s="160" t="s">
        <v>378</v>
      </c>
      <c r="C92" s="146">
        <f>'Energy, GHG'!C83*1000/'Production, Raw Mat'!C$3</f>
        <v>654.71155085454802</v>
      </c>
      <c r="D92" s="146">
        <f>'Energy, GHG'!D83*1000/'Production, Raw Mat'!D$3</f>
        <v>777.24276936124693</v>
      </c>
      <c r="E92" s="146">
        <f>'Energy, GHG'!E83*1000/'Production, Raw Mat'!E$3</f>
        <v>694.09952504768523</v>
      </c>
      <c r="F92" s="146">
        <f>'Energy, GHG'!F83*1000/'Production, Raw Mat'!F$3</f>
        <v>697.20783500633445</v>
      </c>
      <c r="G92" s="146">
        <f>'Energy, GHG'!G83*1000/'Production, Raw Mat'!G$3</f>
        <v>688.50133140053254</v>
      </c>
      <c r="H92" s="146">
        <f>'Energy, GHG'!H83*1000/'Production, Raw Mat'!H$3</f>
        <v>670.53832650737593</v>
      </c>
      <c r="I92" s="146">
        <f>'Energy, GHG'!I83*1000/'Production, Raw Mat'!I$3</f>
        <v>673.57001233331152</v>
      </c>
      <c r="J92" s="146">
        <f>'Energy, GHG'!J83*1000/'Production, Raw Mat'!J$3</f>
        <v>662.66548956156316</v>
      </c>
      <c r="K92" s="146">
        <f>'Energy, GHG'!K83*1000/'Production, Raw Mat'!K$3</f>
        <v>680.75992174039243</v>
      </c>
      <c r="L92" s="146">
        <f>'Energy, GHG'!L83*1000/'Production, Raw Mat'!L$3</f>
        <v>692.40371293651447</v>
      </c>
      <c r="M92" s="146">
        <f>'Energy, GHG'!M83*1000/'Production, Raw Mat'!M$3</f>
        <v>655.20848125835369</v>
      </c>
      <c r="N92" s="146">
        <f>'Energy, GHG'!N83*1000/'Production, Raw Mat'!N$3</f>
        <v>684.00374988576937</v>
      </c>
      <c r="O92" s="146">
        <f>'Energy, GHG'!O83*1000/'Production, Raw Mat'!O$3</f>
        <v>682.33917819146541</v>
      </c>
      <c r="P92" s="146">
        <f>'Energy, GHG'!P83*1000/'Production, Raw Mat'!P$3</f>
        <v>698.44163273043046</v>
      </c>
      <c r="Q92" s="146">
        <f>'Energy, GHG'!Q83*1000/'Production, Raw Mat'!Q$3</f>
        <v>685.24606279039256</v>
      </c>
      <c r="R92" s="146">
        <f>'Energy, GHG'!R83*1000/'Production, Raw Mat'!R$3</f>
        <v>671.66350010553322</v>
      </c>
      <c r="S92" s="146">
        <f>'Energy, GHG'!S83*1000/'Production, Raw Mat'!S$3</f>
        <v>677.80663595805379</v>
      </c>
      <c r="T92" s="168"/>
      <c r="U92" s="157"/>
    </row>
    <row r="93" spans="1:21" s="145" customFormat="1" ht="12.75">
      <c r="A93" s="155" t="s">
        <v>393</v>
      </c>
      <c r="B93" s="160" t="s">
        <v>378</v>
      </c>
      <c r="C93" s="146" t="e">
        <f>'Energy, GHG'!C84*1000/'Production, Raw Mat'!C$4</f>
        <v>#DIV/0!</v>
      </c>
      <c r="D93" s="146" t="e">
        <f>'Energy, GHG'!D84*1000/'Production, Raw Mat'!D$4</f>
        <v>#DIV/0!</v>
      </c>
      <c r="E93" s="146" t="e">
        <f>'Energy, GHG'!E84*1000/'Production, Raw Mat'!E$4</f>
        <v>#DIV/0!</v>
      </c>
      <c r="F93" s="146" t="e">
        <f>'Energy, GHG'!F84*1000/'Production, Raw Mat'!F$4</f>
        <v>#DIV/0!</v>
      </c>
      <c r="G93" s="146" t="e">
        <f>'Energy, GHG'!G84*1000/'Production, Raw Mat'!G$4</f>
        <v>#DIV/0!</v>
      </c>
      <c r="H93" s="146" t="e">
        <f>'Energy, GHG'!H84*1000/'Production, Raw Mat'!H$4</f>
        <v>#DIV/0!</v>
      </c>
      <c r="I93" s="146" t="e">
        <f>'Energy, GHG'!I84*1000/'Production, Raw Mat'!I$4</f>
        <v>#DIV/0!</v>
      </c>
      <c r="J93" s="146" t="e">
        <f>'Energy, GHG'!J84*1000/'Production, Raw Mat'!J$4</f>
        <v>#DIV/0!</v>
      </c>
      <c r="K93" s="146" t="e">
        <f>'Energy, GHG'!K84*1000/'Production, Raw Mat'!K$4</f>
        <v>#DIV/0!</v>
      </c>
      <c r="L93" s="146" t="e">
        <f>'Energy, GHG'!L84*1000/'Production, Raw Mat'!L$4</f>
        <v>#DIV/0!</v>
      </c>
      <c r="M93" s="146" t="e">
        <f>'Energy, GHG'!M84*1000/'Production, Raw Mat'!M$4</f>
        <v>#DIV/0!</v>
      </c>
      <c r="N93" s="146">
        <f>'Energy, GHG'!N84*1000/'Production, Raw Mat'!N$4</f>
        <v>0</v>
      </c>
      <c r="O93" s="146">
        <f>'Energy, GHG'!O84*1000/'Production, Raw Mat'!O$4</f>
        <v>0</v>
      </c>
      <c r="P93" s="146" t="e">
        <f>'Energy, GHG'!P84*1000/'Production, Raw Mat'!P$4</f>
        <v>#DIV/0!</v>
      </c>
      <c r="Q93" s="146" t="e">
        <f>'Energy, GHG'!Q84*1000/'Production, Raw Mat'!Q$4</f>
        <v>#DIV/0!</v>
      </c>
      <c r="R93" s="146" t="e">
        <f>'Energy, GHG'!R84*1000/'Production, Raw Mat'!R$4</f>
        <v>#DIV/0!</v>
      </c>
      <c r="S93" s="146">
        <f>'Energy, GHG'!S84*1000/'Production, Raw Mat'!S$4</f>
        <v>0</v>
      </c>
      <c r="T93" s="168"/>
      <c r="U93" s="157"/>
    </row>
    <row r="94" spans="1:21" s="145" customFormat="1" ht="12.75">
      <c r="A94" s="124" t="s">
        <v>394</v>
      </c>
      <c r="B94" s="158" t="s">
        <v>183</v>
      </c>
      <c r="C94" s="124">
        <f>'Energy, GHG'!C85*1000/'Production, Raw Mat'!C$5</f>
        <v>654.71155085454802</v>
      </c>
      <c r="D94" s="124">
        <f>'Energy, GHG'!D85*1000/'Production, Raw Mat'!D$5</f>
        <v>777.24276936124693</v>
      </c>
      <c r="E94" s="124">
        <f>'Energy, GHG'!E85*1000/'Production, Raw Mat'!E$5</f>
        <v>694.09952504768523</v>
      </c>
      <c r="F94" s="124">
        <f>'Energy, GHG'!F85*1000/'Production, Raw Mat'!F$5</f>
        <v>697.20783500633445</v>
      </c>
      <c r="G94" s="124">
        <f>'Energy, GHG'!G85*1000/'Production, Raw Mat'!G$5</f>
        <v>688.50133140053254</v>
      </c>
      <c r="H94" s="124">
        <f>'Energy, GHG'!H85*1000/'Production, Raw Mat'!H$5</f>
        <v>670.53832650737593</v>
      </c>
      <c r="I94" s="124">
        <f>'Energy, GHG'!I85*1000/'Production, Raw Mat'!I$5</f>
        <v>673.57001233331152</v>
      </c>
      <c r="J94" s="124">
        <f>'Energy, GHG'!J85*1000/'Production, Raw Mat'!J$5</f>
        <v>662.66548956156316</v>
      </c>
      <c r="K94" s="124">
        <f>'Energy, GHG'!K85*1000/'Production, Raw Mat'!K$5</f>
        <v>680.75992174039243</v>
      </c>
      <c r="L94" s="124">
        <f>'Energy, GHG'!L85*1000/'Production, Raw Mat'!L$5</f>
        <v>692.40371293651447</v>
      </c>
      <c r="M94" s="124">
        <f>'Energy, GHG'!M85*1000/'Production, Raw Mat'!M$5</f>
        <v>655.20848125835369</v>
      </c>
      <c r="N94" s="124">
        <f>'Energy, GHG'!N85*1000/'Production, Raw Mat'!N$5</f>
        <v>665.89632392128397</v>
      </c>
      <c r="O94" s="124">
        <f>'Energy, GHG'!O85*1000/'Production, Raw Mat'!O$5</f>
        <v>680.63378242775741</v>
      </c>
      <c r="P94" s="124">
        <f>'Energy, GHG'!P85*1000/'Production, Raw Mat'!P$5</f>
        <v>698.44163273043046</v>
      </c>
      <c r="Q94" s="124">
        <f>'Energy, GHG'!Q85*1000/'Production, Raw Mat'!Q$5</f>
        <v>685.24606279039256</v>
      </c>
      <c r="R94" s="124">
        <f>'Energy, GHG'!R85*1000/'Production, Raw Mat'!R$5</f>
        <v>671.66350010553322</v>
      </c>
      <c r="S94" s="124">
        <f>'Energy, GHG'!S85*1000/'Production, Raw Mat'!S$5</f>
        <v>670.76706747132323</v>
      </c>
      <c r="T94" s="168"/>
      <c r="U94" s="157"/>
    </row>
    <row r="95" spans="1:21" s="145" customFormat="1" ht="12.75">
      <c r="A95" s="155" t="s">
        <v>399</v>
      </c>
      <c r="B95" s="160" t="s">
        <v>378</v>
      </c>
      <c r="C95" s="146">
        <f>'Energy, GHG'!C86*1000/'Production, Raw Mat'!C$3</f>
        <v>109.32292094084752</v>
      </c>
      <c r="D95" s="146">
        <f>'Energy, GHG'!D86*1000/'Production, Raw Mat'!D$3</f>
        <v>121.31318333434153</v>
      </c>
      <c r="E95" s="146">
        <f>'Energy, GHG'!E86*1000/'Production, Raw Mat'!E$3</f>
        <v>101.30054836526325</v>
      </c>
      <c r="F95" s="146">
        <f>'Energy, GHG'!F86*1000/'Production, Raw Mat'!F$3</f>
        <v>107.79916713470016</v>
      </c>
      <c r="G95" s="146">
        <f>'Energy, GHG'!G86*1000/'Production, Raw Mat'!G$3</f>
        <v>112.27818741708447</v>
      </c>
      <c r="H95" s="146">
        <f>'Energy, GHG'!H86*1000/'Production, Raw Mat'!H$3</f>
        <v>113.54418171484193</v>
      </c>
      <c r="I95" s="146">
        <f>'Energy, GHG'!I86*1000/'Production, Raw Mat'!I$3</f>
        <v>109.42679894447936</v>
      </c>
      <c r="J95" s="146">
        <f>'Energy, GHG'!J86*1000/'Production, Raw Mat'!J$3</f>
        <v>107.73222498434477</v>
      </c>
      <c r="K95" s="146">
        <f>'Energy, GHG'!K86*1000/'Production, Raw Mat'!K$3</f>
        <v>116.18271394669316</v>
      </c>
      <c r="L95" s="146">
        <f>'Energy, GHG'!L86*1000/'Production, Raw Mat'!L$3</f>
        <v>113.20532698967823</v>
      </c>
      <c r="M95" s="146">
        <f>M86*1000/'Production, Raw Mat'!M$3</f>
        <v>110.13230301552223</v>
      </c>
      <c r="N95" s="146">
        <f>N86*1000/'Production, Raw Mat'!N$3</f>
        <v>101.97601253840774</v>
      </c>
      <c r="O95" s="146">
        <f>O86*1000/'Production, Raw Mat'!O$3</f>
        <v>109.49730440193939</v>
      </c>
      <c r="P95" s="146">
        <f>P86*1000/'Production, Raw Mat'!P$3</f>
        <v>107.34386936143844</v>
      </c>
      <c r="Q95" s="146">
        <f>Q86*1000/'Production, Raw Mat'!Q$3</f>
        <v>111.24339230207671</v>
      </c>
      <c r="R95" s="146">
        <f>R86*1000/'Production, Raw Mat'!R$3</f>
        <v>110.59371165930825</v>
      </c>
      <c r="S95" s="146">
        <f>S86*1000/'Production, Raw Mat'!S$3</f>
        <v>107.9332918857267</v>
      </c>
      <c r="T95" s="168"/>
      <c r="U95" s="157"/>
    </row>
    <row r="96" spans="1:21" s="145" customFormat="1" ht="12.75">
      <c r="A96" s="155" t="s">
        <v>395</v>
      </c>
      <c r="B96" s="160" t="s">
        <v>378</v>
      </c>
      <c r="C96" s="146" t="e">
        <f>'Energy, GHG'!C87*1000/'Production, Raw Mat'!C$4</f>
        <v>#DIV/0!</v>
      </c>
      <c r="D96" s="146" t="e">
        <f>'Energy, GHG'!D87*1000/'Production, Raw Mat'!D$4</f>
        <v>#DIV/0!</v>
      </c>
      <c r="E96" s="146" t="e">
        <f>'Energy, GHG'!E87*1000/'Production, Raw Mat'!E$4</f>
        <v>#DIV/0!</v>
      </c>
      <c r="F96" s="146" t="e">
        <f>'Energy, GHG'!F87*1000/'Production, Raw Mat'!F$4</f>
        <v>#DIV/0!</v>
      </c>
      <c r="G96" s="146" t="e">
        <f>'Energy, GHG'!G87*1000/'Production, Raw Mat'!G$4</f>
        <v>#DIV/0!</v>
      </c>
      <c r="H96" s="146" t="e">
        <f>'Energy, GHG'!H87*1000/'Production, Raw Mat'!H$4</f>
        <v>#DIV/0!</v>
      </c>
      <c r="I96" s="146" t="e">
        <f>'Energy, GHG'!I87*1000/'Production, Raw Mat'!I$4</f>
        <v>#DIV/0!</v>
      </c>
      <c r="J96" s="146" t="e">
        <f>'Energy, GHG'!J87*1000/'Production, Raw Mat'!J$4</f>
        <v>#DIV/0!</v>
      </c>
      <c r="K96" s="146" t="e">
        <f>'Energy, GHG'!K87*1000/'Production, Raw Mat'!K$4</f>
        <v>#DIV/0!</v>
      </c>
      <c r="L96" s="146" t="e">
        <f>'Energy, GHG'!L87*1000/'Production, Raw Mat'!L$4</f>
        <v>#DIV/0!</v>
      </c>
      <c r="M96" s="146">
        <f>M87*1000/'Production, Raw Mat'!M$3</f>
        <v>0</v>
      </c>
      <c r="N96" s="146">
        <f>N87*1000/'Production, Raw Mat'!N$3</f>
        <v>0.58797113582409377</v>
      </c>
      <c r="O96" s="146">
        <f>O87*1000/'Production, Raw Mat'!O$3</f>
        <v>5.4177328326617945E-2</v>
      </c>
      <c r="P96" s="146">
        <f>P87*1000/'Production, Raw Mat'!P$3</f>
        <v>0</v>
      </c>
      <c r="Q96" s="146">
        <f>Q87*1000/'Production, Raw Mat'!Q$3</f>
        <v>0</v>
      </c>
      <c r="R96" s="146">
        <f>R87*1000/'Production, Raw Mat'!R$3</f>
        <v>0</v>
      </c>
      <c r="S96" s="146">
        <f>S87*1000/'Production, Raw Mat'!S$3</f>
        <v>0.22692388607888511</v>
      </c>
      <c r="T96" s="168"/>
      <c r="U96" s="157"/>
    </row>
    <row r="97" spans="1:21" s="145" customFormat="1" ht="12.75">
      <c r="A97" s="203" t="s">
        <v>396</v>
      </c>
      <c r="B97" s="206" t="s">
        <v>183</v>
      </c>
      <c r="C97" s="203">
        <f>'Energy, GHG'!C88*1000/'Production, Raw Mat'!C$5</f>
        <v>109.32292094084752</v>
      </c>
      <c r="D97" s="203">
        <f>'Energy, GHG'!D88*1000/'Production, Raw Mat'!D$5</f>
        <v>121.31318333434153</v>
      </c>
      <c r="E97" s="203">
        <f>'Energy, GHG'!E88*1000/'Production, Raw Mat'!E$5</f>
        <v>101.30054836526325</v>
      </c>
      <c r="F97" s="203">
        <f>'Energy, GHG'!F88*1000/'Production, Raw Mat'!F$5</f>
        <v>107.79916713470016</v>
      </c>
      <c r="G97" s="203">
        <f>'Energy, GHG'!G88*1000/'Production, Raw Mat'!G$5</f>
        <v>112.27818741708447</v>
      </c>
      <c r="H97" s="203">
        <f>'Energy, GHG'!H88*1000/'Production, Raw Mat'!H$5</f>
        <v>113.54418171484193</v>
      </c>
      <c r="I97" s="203">
        <f>'Energy, GHG'!I88*1000/'Production, Raw Mat'!I$5</f>
        <v>109.42679894447936</v>
      </c>
      <c r="J97" s="203">
        <f>'Energy, GHG'!J88*1000/'Production, Raw Mat'!J$5</f>
        <v>107.73222498434477</v>
      </c>
      <c r="K97" s="203">
        <f>'Energy, GHG'!K88*1000/'Production, Raw Mat'!K$5</f>
        <v>116.18271394669316</v>
      </c>
      <c r="L97" s="203">
        <f>'Energy, GHG'!L88*1000/'Production, Raw Mat'!L$5</f>
        <v>113.20532698967823</v>
      </c>
      <c r="M97" s="203">
        <f>M88*1000/'Production, Raw Mat'!M$3</f>
        <v>110.13230301552223</v>
      </c>
      <c r="N97" s="203">
        <f>N88*1000/'Production, Raw Mat'!N$5</f>
        <v>99.848838119380716</v>
      </c>
      <c r="O97" s="205">
        <f>O88*1000/'Production, Raw Mat'!O$5</f>
        <v>109.2776756250004</v>
      </c>
      <c r="P97" s="205">
        <f>P88*1000/'Production, Raw Mat'!P$5</f>
        <v>107.34386936143844</v>
      </c>
      <c r="Q97" s="205">
        <f>Q88*1000/'Production, Raw Mat'!Q$5</f>
        <v>111.24339230207671</v>
      </c>
      <c r="R97" s="205">
        <f>R88*1000/'Production, Raw Mat'!R$5</f>
        <v>110.59371165930825</v>
      </c>
      <c r="S97" s="205">
        <f>S88*1000/'Production, Raw Mat'!S$5</f>
        <v>107.03688471236715</v>
      </c>
      <c r="T97" s="169"/>
      <c r="U97" s="157"/>
    </row>
    <row r="98" spans="1:21">
      <c r="C98" s="132">
        <f>C91+C97</f>
        <v>687.17555991351026</v>
      </c>
      <c r="D98" s="132">
        <f t="shared" ref="D98:O98" si="106">D91+D97</f>
        <v>815.40777330086871</v>
      </c>
      <c r="E98" s="132">
        <f t="shared" si="106"/>
        <v>725.94277062432127</v>
      </c>
      <c r="F98" s="132">
        <f t="shared" si="106"/>
        <v>733.45361735440099</v>
      </c>
      <c r="G98" s="132">
        <f t="shared" si="106"/>
        <v>723.31330697041483</v>
      </c>
      <c r="H98" s="132">
        <f t="shared" si="106"/>
        <v>704.0641277584981</v>
      </c>
      <c r="I98" s="132">
        <f t="shared" si="106"/>
        <v>701.57477020603972</v>
      </c>
      <c r="J98" s="132">
        <f t="shared" si="106"/>
        <v>697.17601091667314</v>
      </c>
      <c r="K98" s="132">
        <f t="shared" si="106"/>
        <v>710.9239786488132</v>
      </c>
      <c r="L98" s="132">
        <f t="shared" si="106"/>
        <v>726.00453974088532</v>
      </c>
      <c r="M98" s="132">
        <f t="shared" si="106"/>
        <v>690.00451526916595</v>
      </c>
      <c r="N98" s="132">
        <f t="shared" si="106"/>
        <v>700.5366688419499</v>
      </c>
      <c r="O98" s="132">
        <f t="shared" si="106"/>
        <v>713.92694442479365</v>
      </c>
    </row>
    <row r="99" spans="1:21" ht="13.5">
      <c r="A99" s="126" t="s">
        <v>119</v>
      </c>
      <c r="B99" s="233" t="s">
        <v>192</v>
      </c>
      <c r="C99" s="234"/>
      <c r="D99" s="235"/>
      <c r="E99" s="233" t="s">
        <v>184</v>
      </c>
      <c r="F99" s="234"/>
      <c r="G99" s="235"/>
      <c r="H99" s="132">
        <f>G98-H98</f>
        <v>19.249179211916726</v>
      </c>
    </row>
    <row r="100" spans="1:21" ht="12.75">
      <c r="A100" s="80" t="s">
        <v>249</v>
      </c>
      <c r="B100" s="148"/>
      <c r="C100" s="148"/>
      <c r="D100" s="148"/>
      <c r="E100" s="149" t="s">
        <v>334</v>
      </c>
      <c r="F100" s="203">
        <v>96</v>
      </c>
      <c r="G100" s="80" t="s">
        <v>5</v>
      </c>
    </row>
    <row r="101" spans="1:21" ht="12.75">
      <c r="A101" s="80" t="s">
        <v>290</v>
      </c>
      <c r="B101" s="80" t="s">
        <v>115</v>
      </c>
      <c r="C101" s="80"/>
      <c r="D101" s="80" t="s">
        <v>5</v>
      </c>
      <c r="E101" s="149" t="s">
        <v>186</v>
      </c>
      <c r="F101" s="258"/>
      <c r="G101" s="80" t="s">
        <v>5</v>
      </c>
    </row>
    <row r="102" spans="1:21">
      <c r="A102" s="80" t="s">
        <v>106</v>
      </c>
      <c r="B102" s="80" t="s">
        <v>116</v>
      </c>
      <c r="C102" s="68">
        <v>1.0549999999999999</v>
      </c>
      <c r="D102" s="150" t="s">
        <v>114</v>
      </c>
      <c r="E102" s="151" t="s">
        <v>187</v>
      </c>
      <c r="F102" s="129">
        <v>59.239899999999999</v>
      </c>
      <c r="G102" s="150" t="s">
        <v>114</v>
      </c>
    </row>
    <row r="103" spans="1:21">
      <c r="A103" s="127" t="s">
        <v>107</v>
      </c>
      <c r="B103" s="127" t="s">
        <v>116</v>
      </c>
      <c r="C103" s="68">
        <v>1.0549999999999999</v>
      </c>
      <c r="D103" s="150" t="s">
        <v>114</v>
      </c>
      <c r="E103" s="151" t="s">
        <v>187</v>
      </c>
      <c r="F103" s="258"/>
      <c r="G103" s="80" t="s">
        <v>5</v>
      </c>
    </row>
    <row r="104" spans="1:21" ht="12.75">
      <c r="A104" s="80" t="s">
        <v>176</v>
      </c>
      <c r="B104" s="80" t="s">
        <v>117</v>
      </c>
      <c r="C104" s="68">
        <v>4.9299999999999997E-2</v>
      </c>
      <c r="D104" s="150" t="s">
        <v>114</v>
      </c>
      <c r="E104" s="149" t="s">
        <v>190</v>
      </c>
      <c r="F104" s="129">
        <v>3.1133000000000002</v>
      </c>
      <c r="G104" s="150" t="s">
        <v>114</v>
      </c>
    </row>
    <row r="105" spans="1:21" ht="12.75">
      <c r="A105" s="80" t="s">
        <v>189</v>
      </c>
      <c r="B105" s="148"/>
      <c r="C105" s="148"/>
      <c r="D105" s="148"/>
      <c r="E105" s="149" t="s">
        <v>190</v>
      </c>
      <c r="F105" s="129">
        <v>3.1899000000000002</v>
      </c>
      <c r="G105" s="150" t="s">
        <v>114</v>
      </c>
    </row>
    <row r="106" spans="1:21">
      <c r="A106" s="80" t="s">
        <v>109</v>
      </c>
      <c r="B106" s="80" t="s">
        <v>118</v>
      </c>
      <c r="C106" s="68">
        <v>3.977E-2</v>
      </c>
      <c r="D106" s="150" t="s">
        <v>114</v>
      </c>
      <c r="E106" s="151" t="s">
        <v>188</v>
      </c>
      <c r="F106" s="129">
        <v>3.0832999999999999</v>
      </c>
      <c r="G106" s="150" t="s">
        <v>191</v>
      </c>
    </row>
    <row r="107" spans="1:21">
      <c r="A107" s="80" t="s">
        <v>238</v>
      </c>
      <c r="B107" s="80" t="s">
        <v>118</v>
      </c>
      <c r="C107" s="68">
        <v>3.6420000000000001E-2</v>
      </c>
      <c r="D107" s="150" t="s">
        <v>114</v>
      </c>
      <c r="E107" s="151" t="s">
        <v>188</v>
      </c>
      <c r="F107" s="205">
        <v>2.7403</v>
      </c>
      <c r="G107" s="150" t="s">
        <v>114</v>
      </c>
    </row>
    <row r="108" spans="1:21">
      <c r="A108" s="80" t="s">
        <v>239</v>
      </c>
      <c r="B108" s="148"/>
      <c r="C108" s="148"/>
      <c r="D108" s="148"/>
      <c r="E108" s="151" t="s">
        <v>188</v>
      </c>
      <c r="F108" s="205">
        <v>2.7075999999999998</v>
      </c>
      <c r="G108" s="150" t="s">
        <v>114</v>
      </c>
    </row>
    <row r="109" spans="1:21">
      <c r="A109" s="80" t="s">
        <v>111</v>
      </c>
      <c r="B109" s="80" t="s">
        <v>118</v>
      </c>
      <c r="C109" s="68">
        <v>3.1480000000000001E-2</v>
      </c>
      <c r="D109" s="150" t="s">
        <v>114</v>
      </c>
      <c r="E109" s="151" t="s">
        <v>188</v>
      </c>
      <c r="F109" s="129">
        <v>2.2376</v>
      </c>
      <c r="G109" s="150" t="s">
        <v>114</v>
      </c>
    </row>
    <row r="110" spans="1:21" ht="12.75">
      <c r="A110" s="80" t="s">
        <v>112</v>
      </c>
      <c r="B110" s="80" t="s">
        <v>115</v>
      </c>
      <c r="C110" s="80"/>
      <c r="D110" s="80" t="s">
        <v>5</v>
      </c>
      <c r="E110" s="149" t="s">
        <v>186</v>
      </c>
      <c r="F110" s="259"/>
      <c r="G110" s="80" t="s">
        <v>5</v>
      </c>
    </row>
    <row r="111" spans="1:21">
      <c r="A111" s="144" t="s">
        <v>113</v>
      </c>
      <c r="B111" s="80" t="s">
        <v>117</v>
      </c>
      <c r="C111" s="144">
        <v>1.44E-2</v>
      </c>
      <c r="D111" s="80" t="s">
        <v>5</v>
      </c>
      <c r="E111" s="148"/>
      <c r="F111" s="260"/>
      <c r="G111" s="148"/>
    </row>
    <row r="112" spans="1:21" ht="12.75">
      <c r="A112" s="144" t="s">
        <v>52</v>
      </c>
      <c r="B112" s="144" t="s">
        <v>99</v>
      </c>
      <c r="C112" s="68">
        <f>3.6</f>
        <v>3.6</v>
      </c>
      <c r="D112" s="150" t="s">
        <v>114</v>
      </c>
      <c r="E112" s="151" t="s">
        <v>400</v>
      </c>
      <c r="F112" s="261">
        <v>0.8649</v>
      </c>
      <c r="G112" s="150" t="s">
        <v>114</v>
      </c>
    </row>
    <row r="113" spans="1:21" ht="12.75">
      <c r="A113" s="144" t="s">
        <v>96</v>
      </c>
      <c r="B113" s="144" t="s">
        <v>99</v>
      </c>
      <c r="C113" s="68">
        <f>3.6</f>
        <v>3.6</v>
      </c>
      <c r="D113" s="150" t="s">
        <v>114</v>
      </c>
      <c r="E113" s="151" t="s">
        <v>185</v>
      </c>
      <c r="F113" s="259"/>
      <c r="G113" s="80" t="s">
        <v>5</v>
      </c>
    </row>
    <row r="114" spans="1:21">
      <c r="A114" s="80" t="s">
        <v>97</v>
      </c>
      <c r="B114" s="144" t="s">
        <v>99</v>
      </c>
      <c r="C114" s="68">
        <f>3.6</f>
        <v>3.6</v>
      </c>
      <c r="D114" s="150" t="s">
        <v>114</v>
      </c>
      <c r="E114" s="148"/>
      <c r="F114" s="260"/>
      <c r="G114" s="148"/>
    </row>
    <row r="115" spans="1:21" ht="12.75">
      <c r="A115" s="144" t="s">
        <v>174</v>
      </c>
      <c r="B115" s="148"/>
      <c r="C115" s="148"/>
      <c r="D115" s="148"/>
      <c r="E115" s="149" t="s">
        <v>190</v>
      </c>
      <c r="F115" s="262">
        <v>3.3845999999999998</v>
      </c>
      <c r="G115" s="150" t="s">
        <v>191</v>
      </c>
    </row>
    <row r="116" spans="1:21" ht="15">
      <c r="A116" s="127" t="s">
        <v>175</v>
      </c>
      <c r="B116" s="148"/>
      <c r="C116" s="148"/>
      <c r="D116" s="148"/>
      <c r="E116" s="149" t="s">
        <v>190</v>
      </c>
      <c r="F116" s="262">
        <v>439.71</v>
      </c>
      <c r="G116" s="150" t="s">
        <v>191</v>
      </c>
    </row>
    <row r="117" spans="1:21" ht="12.75">
      <c r="A117" s="80" t="s">
        <v>177</v>
      </c>
      <c r="B117" s="148"/>
      <c r="C117" s="148"/>
      <c r="D117" s="148"/>
      <c r="E117" s="151" t="s">
        <v>193</v>
      </c>
      <c r="F117" s="262">
        <v>25</v>
      </c>
      <c r="G117" s="150" t="s">
        <v>191</v>
      </c>
    </row>
    <row r="120" spans="1:21" s="142" customFormat="1">
      <c r="A120" s="126" t="s">
        <v>122</v>
      </c>
      <c r="B120" s="126" t="s">
        <v>73</v>
      </c>
      <c r="C120" s="126" t="s">
        <v>74</v>
      </c>
      <c r="D120" s="126" t="s">
        <v>75</v>
      </c>
      <c r="E120" s="126" t="s">
        <v>76</v>
      </c>
      <c r="F120" s="126" t="s">
        <v>77</v>
      </c>
      <c r="G120" s="126" t="s">
        <v>78</v>
      </c>
      <c r="H120" s="126" t="s">
        <v>79</v>
      </c>
      <c r="I120" s="126" t="s">
        <v>80</v>
      </c>
      <c r="J120" s="126" t="s">
        <v>81</v>
      </c>
      <c r="K120" s="126" t="s">
        <v>82</v>
      </c>
      <c r="L120" s="126" t="s">
        <v>83</v>
      </c>
      <c r="M120" s="126" t="s">
        <v>84</v>
      </c>
      <c r="N120" s="126" t="s">
        <v>85</v>
      </c>
      <c r="O120" s="132"/>
      <c r="P120" s="132"/>
      <c r="Q120" s="132"/>
      <c r="R120" s="132"/>
      <c r="S120" s="132"/>
      <c r="T120" s="157"/>
      <c r="U120" s="157"/>
    </row>
    <row r="121" spans="1:21">
      <c r="A121" s="80" t="s">
        <v>104</v>
      </c>
      <c r="B121" s="150" t="s">
        <v>180</v>
      </c>
      <c r="C121" s="80"/>
      <c r="D121" s="80"/>
      <c r="E121" s="80"/>
      <c r="F121" s="80"/>
      <c r="G121" s="80"/>
      <c r="H121" s="80"/>
      <c r="I121" s="80"/>
      <c r="J121" s="80"/>
      <c r="K121" s="80"/>
      <c r="L121" s="80"/>
      <c r="M121" s="80"/>
      <c r="N121" s="80"/>
    </row>
    <row r="122" spans="1:21">
      <c r="A122" s="80" t="s">
        <v>105</v>
      </c>
      <c r="B122" s="150" t="s">
        <v>180</v>
      </c>
      <c r="C122" s="80"/>
      <c r="D122" s="80"/>
      <c r="E122" s="80"/>
      <c r="F122" s="80"/>
      <c r="G122" s="80"/>
      <c r="H122" s="80"/>
      <c r="I122" s="80"/>
      <c r="J122" s="80"/>
      <c r="K122" s="80"/>
      <c r="L122" s="80"/>
      <c r="M122" s="80"/>
      <c r="N122" s="80"/>
    </row>
    <row r="123" spans="1:21">
      <c r="A123" s="80" t="s">
        <v>106</v>
      </c>
      <c r="B123" s="150" t="s">
        <v>180</v>
      </c>
      <c r="C123" s="80"/>
      <c r="D123" s="80"/>
      <c r="E123" s="80"/>
      <c r="F123" s="80"/>
      <c r="G123" s="80"/>
      <c r="H123" s="80"/>
      <c r="I123" s="80"/>
      <c r="J123" s="80"/>
      <c r="K123" s="80"/>
      <c r="L123" s="80"/>
      <c r="M123" s="80"/>
      <c r="N123" s="80"/>
    </row>
    <row r="124" spans="1:21">
      <c r="A124" s="127" t="s">
        <v>107</v>
      </c>
      <c r="B124" s="150" t="s">
        <v>180</v>
      </c>
      <c r="C124" s="127"/>
      <c r="D124" s="127"/>
      <c r="E124" s="127"/>
      <c r="F124" s="127"/>
      <c r="G124" s="127"/>
      <c r="H124" s="127"/>
      <c r="I124" s="127"/>
      <c r="J124" s="127"/>
      <c r="K124" s="127"/>
      <c r="L124" s="127"/>
      <c r="M124" s="127"/>
      <c r="N124" s="127"/>
    </row>
    <row r="125" spans="1:21">
      <c r="A125" s="80" t="s">
        <v>108</v>
      </c>
      <c r="B125" s="150" t="s">
        <v>180</v>
      </c>
      <c r="C125" s="80"/>
      <c r="D125" s="80"/>
      <c r="E125" s="80"/>
      <c r="F125" s="80"/>
      <c r="G125" s="80"/>
      <c r="H125" s="80"/>
      <c r="I125" s="80"/>
      <c r="J125" s="80"/>
      <c r="K125" s="80"/>
      <c r="L125" s="80"/>
      <c r="M125" s="80"/>
      <c r="N125" s="80"/>
    </row>
    <row r="126" spans="1:21">
      <c r="A126" s="80" t="s">
        <v>109</v>
      </c>
      <c r="B126" s="150" t="s">
        <v>180</v>
      </c>
      <c r="C126" s="80"/>
      <c r="D126" s="80"/>
      <c r="E126" s="80"/>
      <c r="F126" s="80"/>
      <c r="G126" s="80"/>
      <c r="H126" s="80"/>
      <c r="I126" s="80"/>
      <c r="J126" s="80"/>
      <c r="K126" s="80"/>
      <c r="L126" s="80"/>
      <c r="M126" s="80"/>
      <c r="N126" s="80"/>
    </row>
    <row r="127" spans="1:21">
      <c r="A127" s="80" t="s">
        <v>110</v>
      </c>
      <c r="B127" s="152" t="s">
        <v>233</v>
      </c>
      <c r="C127" s="87"/>
      <c r="D127" s="80"/>
      <c r="E127" s="80"/>
      <c r="F127" s="80"/>
      <c r="G127" s="80"/>
      <c r="H127" s="80"/>
      <c r="I127" s="80"/>
      <c r="J127" s="80"/>
      <c r="K127" s="80"/>
      <c r="L127" s="80"/>
      <c r="M127" s="80"/>
      <c r="N127" s="80"/>
    </row>
    <row r="128" spans="1:21">
      <c r="A128" s="80" t="s">
        <v>111</v>
      </c>
      <c r="B128" s="150" t="s">
        <v>180</v>
      </c>
      <c r="C128" s="80"/>
      <c r="D128" s="80"/>
      <c r="E128" s="80"/>
      <c r="F128" s="80"/>
      <c r="G128" s="80"/>
      <c r="H128" s="80"/>
      <c r="I128" s="80"/>
      <c r="J128" s="80"/>
      <c r="K128" s="80"/>
      <c r="L128" s="80"/>
      <c r="M128" s="80"/>
      <c r="N128" s="80"/>
    </row>
    <row r="129" spans="1:14">
      <c r="A129" s="80" t="s">
        <v>112</v>
      </c>
      <c r="B129" s="150" t="s">
        <v>180</v>
      </c>
      <c r="C129" s="80"/>
      <c r="D129" s="80"/>
      <c r="E129" s="80"/>
      <c r="F129" s="80"/>
      <c r="G129" s="80"/>
      <c r="H129" s="80"/>
      <c r="I129" s="80"/>
      <c r="J129" s="80"/>
      <c r="K129" s="80"/>
      <c r="L129" s="80"/>
      <c r="M129" s="80"/>
      <c r="N129" s="80"/>
    </row>
    <row r="130" spans="1:14">
      <c r="A130" s="80" t="s">
        <v>113</v>
      </c>
      <c r="B130" s="150" t="s">
        <v>180</v>
      </c>
      <c r="C130" s="80"/>
      <c r="D130" s="80"/>
      <c r="E130" s="80"/>
      <c r="F130" s="80"/>
      <c r="G130" s="80"/>
      <c r="H130" s="80"/>
      <c r="I130" s="80"/>
      <c r="J130" s="80"/>
      <c r="K130" s="80"/>
      <c r="L130" s="80"/>
      <c r="M130" s="80"/>
      <c r="N130" s="80"/>
    </row>
    <row r="131" spans="1:14">
      <c r="A131" s="80" t="s">
        <v>52</v>
      </c>
      <c r="B131" s="152" t="s">
        <v>233</v>
      </c>
      <c r="C131" s="87"/>
      <c r="D131" s="80"/>
      <c r="E131" s="80"/>
      <c r="F131" s="80"/>
      <c r="G131" s="80"/>
      <c r="H131" s="80"/>
      <c r="I131" s="80"/>
      <c r="J131" s="80"/>
      <c r="K131" s="80"/>
      <c r="L131" s="80"/>
      <c r="M131" s="80"/>
      <c r="N131" s="80"/>
    </row>
    <row r="132" spans="1:14">
      <c r="A132" s="80" t="s">
        <v>96</v>
      </c>
      <c r="B132" s="150" t="s">
        <v>180</v>
      </c>
      <c r="C132" s="80"/>
      <c r="D132" s="80"/>
      <c r="E132" s="80"/>
      <c r="F132" s="80"/>
      <c r="G132" s="80"/>
      <c r="H132" s="80"/>
      <c r="I132" s="80"/>
      <c r="J132" s="80"/>
      <c r="K132" s="80"/>
      <c r="L132" s="80"/>
      <c r="M132" s="80"/>
      <c r="N132" s="80"/>
    </row>
    <row r="133" spans="1:14">
      <c r="A133" s="80" t="s">
        <v>97</v>
      </c>
      <c r="B133" s="150" t="s">
        <v>180</v>
      </c>
      <c r="C133" s="80"/>
      <c r="D133" s="80"/>
      <c r="E133" s="80"/>
      <c r="F133" s="80"/>
      <c r="G133" s="80"/>
      <c r="H133" s="80"/>
      <c r="I133" s="80"/>
      <c r="J133" s="80"/>
      <c r="K133" s="80"/>
      <c r="L133" s="80"/>
      <c r="M133" s="80"/>
      <c r="N133" s="80"/>
    </row>
  </sheetData>
  <mergeCells count="2">
    <mergeCell ref="B99:D99"/>
    <mergeCell ref="E99:G99"/>
  </mergeCells>
  <pageMargins left="0.7" right="0.7" top="0.75" bottom="0.75" header="0.3" footer="0.3"/>
  <pageSetup paperSize="9" orientation="portrait" r:id="rId1"/>
  <ignoredErrors>
    <ignoredError sqref="D76:M76 O40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F0"/>
  </sheetPr>
  <dimension ref="A2:V133"/>
  <sheetViews>
    <sheetView topLeftCell="A2" zoomScale="90" zoomScaleNormal="90" workbookViewId="0">
      <pane xSplit="2" ySplit="1" topLeftCell="C3" activePane="bottomRight" state="frozen"/>
      <selection activeCell="A2" sqref="A2"/>
      <selection pane="topRight" activeCell="C2" sqref="C2"/>
      <selection pane="bottomLeft" activeCell="A3" sqref="A3"/>
      <selection pane="bottomRight" activeCell="I99" sqref="I99"/>
    </sheetView>
  </sheetViews>
  <sheetFormatPr defaultColWidth="8.7109375" defaultRowHeight="12"/>
  <cols>
    <col min="1" max="1" width="41.42578125" style="132" customWidth="1"/>
    <col min="2" max="2" width="10.140625" style="132" bestFit="1" customWidth="1"/>
    <col min="3" max="3" width="11.140625" style="132" bestFit="1" customWidth="1"/>
    <col min="4" max="4" width="13" style="132" customWidth="1"/>
    <col min="5" max="14" width="11.140625" style="132" bestFit="1" customWidth="1"/>
    <col min="15" max="15" width="12.140625" style="132" bestFit="1" customWidth="1"/>
    <col min="16" max="19" width="11.140625" style="132" bestFit="1" customWidth="1"/>
    <col min="20" max="20" width="3" style="157" bestFit="1" customWidth="1"/>
    <col min="21" max="21" width="7" style="157" bestFit="1" customWidth="1"/>
    <col min="22" max="16384" width="8.7109375" style="132"/>
  </cols>
  <sheetData>
    <row r="2" spans="1:21" s="142" customFormat="1">
      <c r="A2" s="126" t="s">
        <v>121</v>
      </c>
      <c r="B2" s="126" t="s">
        <v>73</v>
      </c>
      <c r="C2" s="126" t="s">
        <v>74</v>
      </c>
      <c r="D2" s="126" t="s">
        <v>75</v>
      </c>
      <c r="E2" s="126" t="s">
        <v>76</v>
      </c>
      <c r="F2" s="126" t="s">
        <v>77</v>
      </c>
      <c r="G2" s="126" t="s">
        <v>78</v>
      </c>
      <c r="H2" s="126" t="s">
        <v>79</v>
      </c>
      <c r="I2" s="126" t="s">
        <v>80</v>
      </c>
      <c r="J2" s="126" t="s">
        <v>81</v>
      </c>
      <c r="K2" s="126" t="s">
        <v>82</v>
      </c>
      <c r="L2" s="126" t="s">
        <v>83</v>
      </c>
      <c r="M2" s="126" t="s">
        <v>84</v>
      </c>
      <c r="N2" s="126" t="s">
        <v>85</v>
      </c>
      <c r="O2" s="141" t="s">
        <v>86</v>
      </c>
      <c r="P2" s="141" t="s">
        <v>87</v>
      </c>
      <c r="Q2" s="141" t="s">
        <v>88</v>
      </c>
      <c r="R2" s="141" t="s">
        <v>89</v>
      </c>
      <c r="S2" s="141" t="s">
        <v>90</v>
      </c>
      <c r="T2" s="170"/>
      <c r="U2" s="157"/>
    </row>
    <row r="3" spans="1:21">
      <c r="A3" s="195" t="s">
        <v>310</v>
      </c>
      <c r="B3" s="195" t="s">
        <v>101</v>
      </c>
      <c r="C3" s="196">
        <v>1233.5220000000002</v>
      </c>
      <c r="D3" s="196">
        <v>983</v>
      </c>
      <c r="E3" s="195">
        <f>2414661/1000</f>
        <v>2414.6610000000001</v>
      </c>
      <c r="F3" s="195">
        <f>2198795/1000</f>
        <v>2198.7950000000001</v>
      </c>
      <c r="G3" s="195">
        <f>2197301/1000</f>
        <v>2197.3009999999999</v>
      </c>
      <c r="H3" s="195"/>
      <c r="I3" s="195"/>
      <c r="J3" s="195"/>
      <c r="K3" s="195"/>
      <c r="L3" s="195"/>
      <c r="M3" s="195"/>
      <c r="N3" s="195"/>
      <c r="O3" s="195"/>
      <c r="P3" s="195">
        <f>SUM(C3:E3)</f>
        <v>4631.183</v>
      </c>
      <c r="Q3" s="195">
        <f>SUM(F3:H3)</f>
        <v>4396.0959999999995</v>
      </c>
      <c r="R3" s="195">
        <f t="shared" ref="R3:R10" si="0">SUM(I3:K3)</f>
        <v>0</v>
      </c>
      <c r="S3" s="195">
        <f t="shared" ref="S3:S10" si="1">SUM(L3:N3)</f>
        <v>0</v>
      </c>
      <c r="T3" s="168"/>
    </row>
    <row r="4" spans="1:21">
      <c r="A4" s="195" t="s">
        <v>311</v>
      </c>
      <c r="B4" s="195" t="s">
        <v>101</v>
      </c>
      <c r="C4" s="196">
        <v>443</v>
      </c>
      <c r="D4" s="196">
        <f>251250/1000</f>
        <v>251.25</v>
      </c>
      <c r="E4" s="195">
        <f>543069/1000</f>
        <v>543.06899999999996</v>
      </c>
      <c r="F4" s="195">
        <f>88335/1000</f>
        <v>88.334999999999994</v>
      </c>
      <c r="G4" s="195">
        <v>574</v>
      </c>
      <c r="H4" s="195"/>
      <c r="I4" s="195"/>
      <c r="J4" s="195"/>
      <c r="K4" s="195"/>
      <c r="L4" s="195"/>
      <c r="M4" s="195"/>
      <c r="N4" s="195"/>
      <c r="O4" s="195"/>
      <c r="P4" s="195">
        <f t="shared" ref="P4:P9" si="2">SUM(C4:E4)</f>
        <v>1237.319</v>
      </c>
      <c r="Q4" s="195">
        <f t="shared" ref="Q4:Q10" si="3">SUM(F4:H4)</f>
        <v>662.33500000000004</v>
      </c>
      <c r="R4" s="195">
        <f t="shared" si="0"/>
        <v>0</v>
      </c>
      <c r="S4" s="195">
        <f t="shared" si="1"/>
        <v>0</v>
      </c>
      <c r="T4" s="168"/>
    </row>
    <row r="5" spans="1:21">
      <c r="A5" s="195" t="s">
        <v>346</v>
      </c>
      <c r="B5" s="195" t="s">
        <v>101</v>
      </c>
      <c r="C5" s="196">
        <v>0</v>
      </c>
      <c r="D5" s="196">
        <f>92480/1000</f>
        <v>92.48</v>
      </c>
      <c r="E5" s="195">
        <f>430117/1000</f>
        <v>430.11700000000002</v>
      </c>
      <c r="F5" s="195">
        <f>722734/1000</f>
        <v>722.73400000000004</v>
      </c>
      <c r="G5" s="195">
        <v>0</v>
      </c>
      <c r="H5" s="195"/>
      <c r="I5" s="195"/>
      <c r="J5" s="195"/>
      <c r="K5" s="195"/>
      <c r="L5" s="195"/>
      <c r="M5" s="195"/>
      <c r="N5" s="195"/>
      <c r="O5" s="195"/>
      <c r="P5" s="195">
        <f t="shared" si="2"/>
        <v>522.59699999999998</v>
      </c>
      <c r="Q5" s="195">
        <f t="shared" si="3"/>
        <v>722.73400000000004</v>
      </c>
      <c r="R5" s="195">
        <f t="shared" si="0"/>
        <v>0</v>
      </c>
      <c r="S5" s="195">
        <f t="shared" si="1"/>
        <v>0</v>
      </c>
      <c r="T5" s="168"/>
    </row>
    <row r="6" spans="1:21">
      <c r="A6" s="197" t="s">
        <v>411</v>
      </c>
      <c r="B6" s="195" t="s">
        <v>101</v>
      </c>
      <c r="C6" s="196">
        <v>114</v>
      </c>
      <c r="D6" s="196">
        <v>88</v>
      </c>
      <c r="E6" s="195">
        <f>206339/1000</f>
        <v>206.339</v>
      </c>
      <c r="F6" s="195">
        <f>209205/1000</f>
        <v>209.20500000000001</v>
      </c>
      <c r="G6" s="195">
        <f>204699/1000</f>
        <v>204.69900000000001</v>
      </c>
      <c r="H6" s="195"/>
      <c r="I6" s="195"/>
      <c r="J6" s="195"/>
      <c r="K6" s="195"/>
      <c r="L6" s="195"/>
      <c r="M6" s="195"/>
      <c r="N6" s="195"/>
      <c r="O6" s="195"/>
      <c r="P6" s="195">
        <f t="shared" si="2"/>
        <v>408.339</v>
      </c>
      <c r="Q6" s="195">
        <f t="shared" si="3"/>
        <v>413.904</v>
      </c>
      <c r="R6" s="195">
        <f t="shared" si="0"/>
        <v>0</v>
      </c>
      <c r="S6" s="195">
        <f t="shared" si="1"/>
        <v>0</v>
      </c>
      <c r="T6" s="168"/>
    </row>
    <row r="7" spans="1:21">
      <c r="A7" s="181" t="s">
        <v>312</v>
      </c>
      <c r="B7" s="181" t="s">
        <v>101</v>
      </c>
      <c r="C7" s="182">
        <v>0</v>
      </c>
      <c r="D7" s="182">
        <v>0</v>
      </c>
      <c r="E7" s="182">
        <v>0</v>
      </c>
      <c r="F7" s="181"/>
      <c r="G7" s="181"/>
      <c r="H7" s="181"/>
      <c r="I7" s="181"/>
      <c r="J7" s="181"/>
      <c r="K7" s="181"/>
      <c r="L7" s="181"/>
      <c r="M7" s="181"/>
      <c r="N7" s="181"/>
      <c r="O7" s="181"/>
      <c r="P7" s="181">
        <f>SUM(C7:E7)</f>
        <v>0</v>
      </c>
      <c r="Q7" s="181">
        <f t="shared" si="3"/>
        <v>0</v>
      </c>
      <c r="R7" s="181">
        <f t="shared" si="0"/>
        <v>0</v>
      </c>
      <c r="S7" s="181">
        <f t="shared" si="1"/>
        <v>0</v>
      </c>
      <c r="T7" s="168"/>
    </row>
    <row r="8" spans="1:21">
      <c r="A8" s="181" t="s">
        <v>313</v>
      </c>
      <c r="B8" s="181" t="s">
        <v>101</v>
      </c>
      <c r="C8" s="182">
        <v>0</v>
      </c>
      <c r="D8" s="182">
        <v>0</v>
      </c>
      <c r="E8" s="182">
        <v>0</v>
      </c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>
        <f t="shared" si="2"/>
        <v>0</v>
      </c>
      <c r="Q8" s="181">
        <f t="shared" si="3"/>
        <v>0</v>
      </c>
      <c r="R8" s="181">
        <f t="shared" si="0"/>
        <v>0</v>
      </c>
      <c r="S8" s="181">
        <f t="shared" si="1"/>
        <v>0</v>
      </c>
      <c r="T8" s="168"/>
    </row>
    <row r="9" spans="1:21">
      <c r="A9" s="181" t="s">
        <v>347</v>
      </c>
      <c r="B9" s="181" t="s">
        <v>101</v>
      </c>
      <c r="C9" s="182">
        <v>0</v>
      </c>
      <c r="D9" s="182">
        <v>0</v>
      </c>
      <c r="E9" s="182">
        <v>0</v>
      </c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>
        <f t="shared" si="2"/>
        <v>0</v>
      </c>
      <c r="Q9" s="181">
        <f t="shared" si="3"/>
        <v>0</v>
      </c>
      <c r="R9" s="181">
        <f t="shared" si="0"/>
        <v>0</v>
      </c>
      <c r="S9" s="181">
        <f t="shared" si="1"/>
        <v>0</v>
      </c>
      <c r="T9" s="168"/>
    </row>
    <row r="10" spans="1:21">
      <c r="A10" s="180" t="s">
        <v>412</v>
      </c>
      <c r="B10" s="181" t="s">
        <v>101</v>
      </c>
      <c r="C10" s="182">
        <v>0</v>
      </c>
      <c r="D10" s="182">
        <v>0</v>
      </c>
      <c r="E10" s="182">
        <v>0</v>
      </c>
      <c r="F10" s="182"/>
      <c r="G10" s="182"/>
      <c r="H10" s="182"/>
      <c r="I10" s="182"/>
      <c r="J10" s="182"/>
      <c r="K10" s="182"/>
      <c r="L10" s="182"/>
      <c r="M10" s="182"/>
      <c r="N10" s="181"/>
      <c r="O10" s="181"/>
      <c r="P10" s="181">
        <f>SUM(C10:L10)</f>
        <v>0</v>
      </c>
      <c r="Q10" s="181">
        <f t="shared" si="3"/>
        <v>0</v>
      </c>
      <c r="R10" s="181">
        <f t="shared" si="0"/>
        <v>0</v>
      </c>
      <c r="S10" s="181">
        <f t="shared" si="1"/>
        <v>0</v>
      </c>
      <c r="T10" s="168"/>
    </row>
    <row r="11" spans="1:21">
      <c r="A11" s="200" t="s">
        <v>315</v>
      </c>
      <c r="B11" s="200" t="s">
        <v>101</v>
      </c>
      <c r="C11" s="201">
        <f>C3+C7</f>
        <v>1233.5220000000002</v>
      </c>
      <c r="D11" s="201">
        <f>D3+D7</f>
        <v>983</v>
      </c>
      <c r="E11" s="201">
        <f t="shared" ref="E11:O11" si="4">E3+E7</f>
        <v>2414.6610000000001</v>
      </c>
      <c r="F11" s="201">
        <f t="shared" si="4"/>
        <v>2198.7950000000001</v>
      </c>
      <c r="G11" s="201">
        <f t="shared" si="4"/>
        <v>2197.3009999999999</v>
      </c>
      <c r="H11" s="201">
        <f t="shared" si="4"/>
        <v>0</v>
      </c>
      <c r="I11" s="201">
        <f t="shared" si="4"/>
        <v>0</v>
      </c>
      <c r="J11" s="201">
        <f t="shared" si="4"/>
        <v>0</v>
      </c>
      <c r="K11" s="201">
        <f t="shared" si="4"/>
        <v>0</v>
      </c>
      <c r="L11" s="201">
        <f t="shared" si="4"/>
        <v>0</v>
      </c>
      <c r="M11" s="201">
        <f t="shared" si="4"/>
        <v>0</v>
      </c>
      <c r="N11" s="201">
        <f t="shared" si="4"/>
        <v>0</v>
      </c>
      <c r="O11" s="201">
        <f t="shared" si="4"/>
        <v>0</v>
      </c>
      <c r="P11" s="201">
        <f>P3+P7</f>
        <v>4631.183</v>
      </c>
      <c r="Q11" s="201">
        <f t="shared" ref="Q11:T14" si="5">Q3+Q7</f>
        <v>4396.0959999999995</v>
      </c>
      <c r="R11" s="201">
        <f t="shared" si="5"/>
        <v>0</v>
      </c>
      <c r="S11" s="201">
        <f t="shared" si="5"/>
        <v>0</v>
      </c>
      <c r="T11" s="171"/>
    </row>
    <row r="12" spans="1:21">
      <c r="A12" s="200" t="s">
        <v>316</v>
      </c>
      <c r="B12" s="200" t="s">
        <v>101</v>
      </c>
      <c r="C12" s="201">
        <f>C4+C8</f>
        <v>443</v>
      </c>
      <c r="D12" s="201">
        <f t="shared" ref="D12:P14" si="6">D4+D8</f>
        <v>251.25</v>
      </c>
      <c r="E12" s="201">
        <f t="shared" si="6"/>
        <v>543.06899999999996</v>
      </c>
      <c r="F12" s="201">
        <f t="shared" si="6"/>
        <v>88.334999999999994</v>
      </c>
      <c r="G12" s="201">
        <f t="shared" si="6"/>
        <v>574</v>
      </c>
      <c r="H12" s="201">
        <f t="shared" si="6"/>
        <v>0</v>
      </c>
      <c r="I12" s="201">
        <f t="shared" si="6"/>
        <v>0</v>
      </c>
      <c r="J12" s="201">
        <f t="shared" si="6"/>
        <v>0</v>
      </c>
      <c r="K12" s="201">
        <f t="shared" si="6"/>
        <v>0</v>
      </c>
      <c r="L12" s="201">
        <f t="shared" si="6"/>
        <v>0</v>
      </c>
      <c r="M12" s="201">
        <f t="shared" si="6"/>
        <v>0</v>
      </c>
      <c r="N12" s="201">
        <f t="shared" si="6"/>
        <v>0</v>
      </c>
      <c r="O12" s="201">
        <f t="shared" si="6"/>
        <v>0</v>
      </c>
      <c r="P12" s="201">
        <f t="shared" si="6"/>
        <v>1237.319</v>
      </c>
      <c r="Q12" s="201">
        <f t="shared" si="5"/>
        <v>662.33500000000004</v>
      </c>
      <c r="R12" s="201">
        <f t="shared" si="5"/>
        <v>0</v>
      </c>
      <c r="S12" s="201">
        <f t="shared" si="5"/>
        <v>0</v>
      </c>
      <c r="T12" s="171"/>
    </row>
    <row r="13" spans="1:21">
      <c r="A13" s="200" t="s">
        <v>317</v>
      </c>
      <c r="B13" s="200" t="s">
        <v>101</v>
      </c>
      <c r="C13" s="201">
        <f>C5+C9</f>
        <v>0</v>
      </c>
      <c r="D13" s="201">
        <f t="shared" si="6"/>
        <v>92.48</v>
      </c>
      <c r="E13" s="201">
        <f t="shared" si="6"/>
        <v>430.11700000000002</v>
      </c>
      <c r="F13" s="201">
        <f t="shared" si="6"/>
        <v>722.73400000000004</v>
      </c>
      <c r="G13" s="201">
        <f t="shared" si="6"/>
        <v>0</v>
      </c>
      <c r="H13" s="201">
        <f t="shared" si="6"/>
        <v>0</v>
      </c>
      <c r="I13" s="201">
        <f t="shared" si="6"/>
        <v>0</v>
      </c>
      <c r="J13" s="201">
        <f t="shared" si="6"/>
        <v>0</v>
      </c>
      <c r="K13" s="201">
        <f t="shared" si="6"/>
        <v>0</v>
      </c>
      <c r="L13" s="201">
        <f t="shared" si="6"/>
        <v>0</v>
      </c>
      <c r="M13" s="201">
        <f t="shared" si="6"/>
        <v>0</v>
      </c>
      <c r="N13" s="201">
        <f t="shared" si="6"/>
        <v>0</v>
      </c>
      <c r="O13" s="201">
        <f t="shared" si="6"/>
        <v>0</v>
      </c>
      <c r="P13" s="201">
        <f>P5+P9</f>
        <v>522.59699999999998</v>
      </c>
      <c r="Q13" s="201">
        <f t="shared" si="5"/>
        <v>722.73400000000004</v>
      </c>
      <c r="R13" s="201">
        <f t="shared" si="5"/>
        <v>0</v>
      </c>
      <c r="S13" s="201">
        <f t="shared" si="5"/>
        <v>0</v>
      </c>
      <c r="T13" s="171"/>
    </row>
    <row r="14" spans="1:21">
      <c r="A14" s="200" t="s">
        <v>413</v>
      </c>
      <c r="B14" s="200" t="s">
        <v>101</v>
      </c>
      <c r="C14" s="201">
        <f>C6+C10</f>
        <v>114</v>
      </c>
      <c r="D14" s="201">
        <f t="shared" si="6"/>
        <v>88</v>
      </c>
      <c r="E14" s="201">
        <f t="shared" si="6"/>
        <v>206.339</v>
      </c>
      <c r="F14" s="201">
        <f t="shared" si="6"/>
        <v>209.20500000000001</v>
      </c>
      <c r="G14" s="201">
        <f t="shared" si="6"/>
        <v>204.69900000000001</v>
      </c>
      <c r="H14" s="201">
        <f t="shared" si="6"/>
        <v>0</v>
      </c>
      <c r="I14" s="201">
        <f t="shared" si="6"/>
        <v>0</v>
      </c>
      <c r="J14" s="201">
        <f t="shared" si="6"/>
        <v>0</v>
      </c>
      <c r="K14" s="201">
        <f t="shared" si="6"/>
        <v>0</v>
      </c>
      <c r="L14" s="201">
        <f t="shared" si="6"/>
        <v>0</v>
      </c>
      <c r="M14" s="201">
        <f t="shared" si="6"/>
        <v>0</v>
      </c>
      <c r="N14" s="201">
        <f t="shared" si="6"/>
        <v>0</v>
      </c>
      <c r="O14" s="201">
        <f t="shared" si="6"/>
        <v>0</v>
      </c>
      <c r="P14" s="201">
        <f>P6+P10</f>
        <v>408.339</v>
      </c>
      <c r="Q14" s="201">
        <f t="shared" si="5"/>
        <v>413.904</v>
      </c>
      <c r="R14" s="201">
        <f t="shared" si="5"/>
        <v>0</v>
      </c>
      <c r="S14" s="201">
        <f t="shared" si="5"/>
        <v>0</v>
      </c>
      <c r="T14" s="130">
        <f t="shared" si="5"/>
        <v>0</v>
      </c>
    </row>
    <row r="15" spans="1:21">
      <c r="A15" s="130" t="s">
        <v>318</v>
      </c>
      <c r="B15" s="68" t="s">
        <v>101</v>
      </c>
      <c r="C15" s="130">
        <f>SUM(C3:C6)</f>
        <v>1790.5220000000002</v>
      </c>
      <c r="D15" s="130">
        <f>SUM(D3:D6)</f>
        <v>1414.73</v>
      </c>
      <c r="E15" s="130">
        <f>SUM(E3:E6)</f>
        <v>3594.1860000000001</v>
      </c>
      <c r="F15" s="130">
        <f t="shared" ref="F15:O15" si="7">SUM(F3:F6)</f>
        <v>3219.069</v>
      </c>
      <c r="G15" s="130">
        <f t="shared" si="7"/>
        <v>2976</v>
      </c>
      <c r="H15" s="130">
        <f t="shared" si="7"/>
        <v>0</v>
      </c>
      <c r="I15" s="130">
        <f t="shared" si="7"/>
        <v>0</v>
      </c>
      <c r="J15" s="130">
        <f t="shared" si="7"/>
        <v>0</v>
      </c>
      <c r="K15" s="130">
        <f t="shared" si="7"/>
        <v>0</v>
      </c>
      <c r="L15" s="130">
        <f t="shared" si="7"/>
        <v>0</v>
      </c>
      <c r="M15" s="130">
        <f t="shared" si="7"/>
        <v>0</v>
      </c>
      <c r="N15" s="130">
        <f t="shared" si="7"/>
        <v>0</v>
      </c>
      <c r="O15" s="130">
        <f t="shared" si="7"/>
        <v>0</v>
      </c>
      <c r="P15" s="130">
        <f>SUM(P3:P6)</f>
        <v>6799.4380000000001</v>
      </c>
      <c r="Q15" s="130">
        <f>SUM(Q3:Q6)</f>
        <v>6195.0689999999995</v>
      </c>
      <c r="R15" s="130">
        <f t="shared" ref="R15:S15" si="8">SUM(R3:R6)</f>
        <v>0</v>
      </c>
      <c r="S15" s="130">
        <f t="shared" si="8"/>
        <v>0</v>
      </c>
      <c r="T15" s="171"/>
    </row>
    <row r="16" spans="1:21">
      <c r="A16" s="130" t="s">
        <v>314</v>
      </c>
      <c r="B16" s="68" t="s">
        <v>101</v>
      </c>
      <c r="C16" s="130">
        <f>SUM(C7:C10)</f>
        <v>0</v>
      </c>
      <c r="D16" s="130">
        <f t="shared" ref="D16:P16" si="9">SUM(D7:D10)</f>
        <v>0</v>
      </c>
      <c r="E16" s="130">
        <f t="shared" si="9"/>
        <v>0</v>
      </c>
      <c r="F16" s="130">
        <f t="shared" si="9"/>
        <v>0</v>
      </c>
      <c r="G16" s="130">
        <f t="shared" si="9"/>
        <v>0</v>
      </c>
      <c r="H16" s="130">
        <f t="shared" si="9"/>
        <v>0</v>
      </c>
      <c r="I16" s="130">
        <f t="shared" si="9"/>
        <v>0</v>
      </c>
      <c r="J16" s="130">
        <f t="shared" si="9"/>
        <v>0</v>
      </c>
      <c r="K16" s="130">
        <f t="shared" si="9"/>
        <v>0</v>
      </c>
      <c r="L16" s="130">
        <f t="shared" si="9"/>
        <v>0</v>
      </c>
      <c r="M16" s="130">
        <f t="shared" si="9"/>
        <v>0</v>
      </c>
      <c r="N16" s="130">
        <f t="shared" si="9"/>
        <v>0</v>
      </c>
      <c r="O16" s="130">
        <f t="shared" si="9"/>
        <v>0</v>
      </c>
      <c r="P16" s="130">
        <f t="shared" si="9"/>
        <v>0</v>
      </c>
      <c r="Q16" s="130">
        <f>SUM(Q7:Q10)</f>
        <v>0</v>
      </c>
      <c r="R16" s="130">
        <f t="shared" ref="R16:S16" si="10">SUM(R7:R10)</f>
        <v>0</v>
      </c>
      <c r="S16" s="130">
        <f t="shared" si="10"/>
        <v>0</v>
      </c>
      <c r="T16" s="171"/>
    </row>
    <row r="17" spans="1:21" s="145" customFormat="1">
      <c r="A17" s="153" t="s">
        <v>357</v>
      </c>
      <c r="B17" s="124" t="s">
        <v>101</v>
      </c>
      <c r="C17" s="153">
        <f>SUM(C15:C16)</f>
        <v>1790.5220000000002</v>
      </c>
      <c r="D17" s="153">
        <f>SUM(D15:D16)</f>
        <v>1414.73</v>
      </c>
      <c r="E17" s="153">
        <f t="shared" ref="E17:O17" si="11">SUM(E15:E16)</f>
        <v>3594.1860000000001</v>
      </c>
      <c r="F17" s="153">
        <f t="shared" si="11"/>
        <v>3219.069</v>
      </c>
      <c r="G17" s="153">
        <f t="shared" si="11"/>
        <v>2976</v>
      </c>
      <c r="H17" s="153">
        <f t="shared" si="11"/>
        <v>0</v>
      </c>
      <c r="I17" s="153">
        <f t="shared" si="11"/>
        <v>0</v>
      </c>
      <c r="J17" s="153">
        <f t="shared" si="11"/>
        <v>0</v>
      </c>
      <c r="K17" s="153">
        <f t="shared" si="11"/>
        <v>0</v>
      </c>
      <c r="L17" s="153">
        <f t="shared" si="11"/>
        <v>0</v>
      </c>
      <c r="M17" s="153">
        <f t="shared" si="11"/>
        <v>0</v>
      </c>
      <c r="N17" s="153">
        <f t="shared" si="11"/>
        <v>0</v>
      </c>
      <c r="O17" s="153">
        <f t="shared" si="11"/>
        <v>0</v>
      </c>
      <c r="P17" s="153">
        <f>SUM(P11:P13)</f>
        <v>6391.0990000000002</v>
      </c>
      <c r="Q17" s="153">
        <f t="shared" ref="Q17:S17" si="12">SUM(Q11:Q13)</f>
        <v>5781.165</v>
      </c>
      <c r="R17" s="153">
        <f t="shared" si="12"/>
        <v>0</v>
      </c>
      <c r="S17" s="153">
        <f t="shared" si="12"/>
        <v>0</v>
      </c>
      <c r="T17" s="171"/>
      <c r="U17" s="157"/>
    </row>
    <row r="18" spans="1:21">
      <c r="A18" s="198" t="s">
        <v>404</v>
      </c>
      <c r="B18" s="198" t="s">
        <v>333</v>
      </c>
      <c r="C18" s="199">
        <v>7350</v>
      </c>
      <c r="D18" s="199">
        <v>7350</v>
      </c>
      <c r="E18" s="199">
        <v>7350</v>
      </c>
      <c r="F18" s="199">
        <v>7350</v>
      </c>
      <c r="G18" s="199">
        <v>7350</v>
      </c>
      <c r="H18" s="199">
        <v>7350</v>
      </c>
      <c r="I18" s="199">
        <v>7350</v>
      </c>
      <c r="J18" s="199">
        <v>7350</v>
      </c>
      <c r="K18" s="199">
        <v>7350</v>
      </c>
      <c r="L18" s="199">
        <v>7350</v>
      </c>
      <c r="M18" s="199">
        <v>7350</v>
      </c>
      <c r="N18" s="199">
        <v>7350</v>
      </c>
      <c r="O18" s="199">
        <v>7350</v>
      </c>
      <c r="P18" s="199">
        <v>7350</v>
      </c>
      <c r="Q18" s="199">
        <v>7350</v>
      </c>
      <c r="R18" s="199">
        <v>7350</v>
      </c>
      <c r="S18" s="199">
        <v>7350</v>
      </c>
      <c r="T18" s="168"/>
    </row>
    <row r="19" spans="1:21">
      <c r="A19" s="198" t="s">
        <v>405</v>
      </c>
      <c r="B19" s="198" t="s">
        <v>333</v>
      </c>
      <c r="C19" s="198">
        <v>5780</v>
      </c>
      <c r="D19" s="198">
        <v>5780</v>
      </c>
      <c r="E19" s="198">
        <v>5780</v>
      </c>
      <c r="F19" s="198">
        <v>5780</v>
      </c>
      <c r="G19" s="198">
        <v>5780</v>
      </c>
      <c r="H19" s="198">
        <v>5780</v>
      </c>
      <c r="I19" s="198">
        <v>5780</v>
      </c>
      <c r="J19" s="198">
        <v>5780</v>
      </c>
      <c r="K19" s="198">
        <v>5780</v>
      </c>
      <c r="L19" s="198">
        <v>5780</v>
      </c>
      <c r="M19" s="198">
        <v>5780</v>
      </c>
      <c r="N19" s="198">
        <v>5780</v>
      </c>
      <c r="O19" s="198">
        <v>5780</v>
      </c>
      <c r="P19" s="198">
        <v>5780</v>
      </c>
      <c r="Q19" s="198">
        <v>5780</v>
      </c>
      <c r="R19" s="198">
        <v>5780</v>
      </c>
      <c r="S19" s="198">
        <v>5780</v>
      </c>
      <c r="T19" s="168"/>
    </row>
    <row r="20" spans="1:21">
      <c r="A20" s="198" t="s">
        <v>406</v>
      </c>
      <c r="B20" s="198" t="s">
        <v>333</v>
      </c>
      <c r="C20" s="198">
        <v>5520</v>
      </c>
      <c r="D20" s="198">
        <v>5520</v>
      </c>
      <c r="E20" s="198">
        <v>5520</v>
      </c>
      <c r="F20" s="198">
        <v>5520</v>
      </c>
      <c r="G20" s="198">
        <v>5520</v>
      </c>
      <c r="H20" s="198">
        <v>5520</v>
      </c>
      <c r="I20" s="198">
        <v>5520</v>
      </c>
      <c r="J20" s="198">
        <v>5520</v>
      </c>
      <c r="K20" s="198">
        <v>5520</v>
      </c>
      <c r="L20" s="198">
        <v>5520</v>
      </c>
      <c r="M20" s="198">
        <v>5520</v>
      </c>
      <c r="N20" s="198">
        <v>5520</v>
      </c>
      <c r="O20" s="198">
        <v>5520</v>
      </c>
      <c r="P20" s="198">
        <v>5520</v>
      </c>
      <c r="Q20" s="198">
        <v>5520</v>
      </c>
      <c r="R20" s="198">
        <v>5520</v>
      </c>
      <c r="S20" s="198">
        <v>5520</v>
      </c>
      <c r="T20" s="168"/>
    </row>
    <row r="21" spans="1:21">
      <c r="A21" s="198" t="s">
        <v>414</v>
      </c>
      <c r="B21" s="198" t="s">
        <v>333</v>
      </c>
      <c r="C21" s="198">
        <v>6810</v>
      </c>
      <c r="D21" s="198">
        <v>6810</v>
      </c>
      <c r="E21" s="198">
        <v>6810</v>
      </c>
      <c r="F21" s="198">
        <v>6810</v>
      </c>
      <c r="G21" s="198">
        <v>6810</v>
      </c>
      <c r="H21" s="198">
        <v>6810</v>
      </c>
      <c r="I21" s="198">
        <v>6810</v>
      </c>
      <c r="J21" s="198">
        <v>6810</v>
      </c>
      <c r="K21" s="198">
        <v>6810</v>
      </c>
      <c r="L21" s="198">
        <v>6810</v>
      </c>
      <c r="M21" s="198">
        <v>6810</v>
      </c>
      <c r="N21" s="198">
        <v>6810</v>
      </c>
      <c r="O21" s="198">
        <v>6810</v>
      </c>
      <c r="P21" s="198">
        <v>6810</v>
      </c>
      <c r="Q21" s="198">
        <v>6810</v>
      </c>
      <c r="R21" s="198">
        <v>6810</v>
      </c>
      <c r="S21" s="198">
        <v>6810</v>
      </c>
      <c r="T21" s="168"/>
    </row>
    <row r="22" spans="1:21">
      <c r="A22" s="204" t="s">
        <v>401</v>
      </c>
      <c r="B22" s="204" t="s">
        <v>333</v>
      </c>
      <c r="C22" s="216">
        <f>((C11*C18)+(C12*C19)+(C13*C20)+(C14*C21))/C17</f>
        <v>6927.1791689797719</v>
      </c>
      <c r="D22" s="216">
        <f t="shared" ref="D22:S22" si="13">((D11*D18)+(D12*D19)+(D13*D20)+(D14*D21))/D17</f>
        <v>6917.9593279282972</v>
      </c>
      <c r="E22" s="216">
        <f t="shared" si="13"/>
        <v>6862.7810580754585</v>
      </c>
      <c r="F22" s="216">
        <f t="shared" si="13"/>
        <v>6860.9580223350295</v>
      </c>
      <c r="G22" s="216">
        <f t="shared" si="13"/>
        <v>7010.0411760752695</v>
      </c>
      <c r="H22" s="216" t="e">
        <f t="shared" si="13"/>
        <v>#DIV/0!</v>
      </c>
      <c r="I22" s="216" t="e">
        <f t="shared" si="13"/>
        <v>#DIV/0!</v>
      </c>
      <c r="J22" s="216" t="e">
        <f t="shared" si="13"/>
        <v>#DIV/0!</v>
      </c>
      <c r="K22" s="216" t="e">
        <f t="shared" si="13"/>
        <v>#DIV/0!</v>
      </c>
      <c r="L22" s="216" t="e">
        <f t="shared" si="13"/>
        <v>#DIV/0!</v>
      </c>
      <c r="M22" s="216" t="e">
        <f t="shared" si="13"/>
        <v>#DIV/0!</v>
      </c>
      <c r="N22" s="216" t="e">
        <f t="shared" si="13"/>
        <v>#DIV/0!</v>
      </c>
      <c r="O22" s="216" t="e">
        <f t="shared" si="13"/>
        <v>#DIV/0!</v>
      </c>
      <c r="P22" s="216">
        <f t="shared" si="13"/>
        <v>7331.5126083948926</v>
      </c>
      <c r="Q22" s="216">
        <f t="shared" si="13"/>
        <v>7428.9143831736337</v>
      </c>
      <c r="R22" s="216" t="e">
        <f t="shared" si="13"/>
        <v>#DIV/0!</v>
      </c>
      <c r="S22" s="216" t="e">
        <f t="shared" si="13"/>
        <v>#DIV/0!</v>
      </c>
      <c r="T22" s="168"/>
    </row>
    <row r="23" spans="1:21" s="143" customFormat="1">
      <c r="A23" s="121" t="s">
        <v>358</v>
      </c>
      <c r="B23" s="80" t="s">
        <v>335</v>
      </c>
      <c r="C23" s="121">
        <v>9228477.4016560521</v>
      </c>
      <c r="D23" s="121">
        <v>4930580.0229936307</v>
      </c>
      <c r="E23" s="121">
        <v>18233956.121656053</v>
      </c>
      <c r="F23" s="121">
        <v>16498636.968630577</v>
      </c>
      <c r="G23" s="121">
        <v>15879436.248592356</v>
      </c>
      <c r="H23" s="121"/>
      <c r="I23" s="121"/>
      <c r="J23" s="121"/>
      <c r="K23" s="121"/>
      <c r="L23" s="121"/>
      <c r="M23" s="119"/>
      <c r="N23" s="119"/>
      <c r="O23" s="68">
        <f t="shared" ref="O23:O25" si="14">SUM(C23:N23)</f>
        <v>64771086.763528667</v>
      </c>
      <c r="P23" s="68">
        <f t="shared" ref="P23:P35" si="15">SUM(C23:E23)</f>
        <v>32393013.546305735</v>
      </c>
      <c r="Q23" s="68">
        <f t="shared" ref="Q23:Q35" si="16">SUM(F23:H23)</f>
        <v>32378073.217222933</v>
      </c>
      <c r="R23" s="68">
        <f t="shared" ref="R23:R35" si="17">SUM(I23:K23)</f>
        <v>0</v>
      </c>
      <c r="S23" s="68">
        <f t="shared" ref="S23:S35" si="18">SUM(L23:N23)</f>
        <v>0</v>
      </c>
      <c r="T23" s="168"/>
      <c r="U23" s="172"/>
    </row>
    <row r="24" spans="1:21" s="143" customFormat="1">
      <c r="A24" s="121" t="s">
        <v>359</v>
      </c>
      <c r="B24" s="80" t="s">
        <v>335</v>
      </c>
      <c r="C24" s="121"/>
      <c r="D24" s="121"/>
      <c r="E24" s="121"/>
      <c r="F24" s="121"/>
      <c r="G24" s="121"/>
      <c r="H24" s="121"/>
      <c r="I24" s="121"/>
      <c r="J24" s="121"/>
      <c r="K24" s="121"/>
      <c r="L24" s="121"/>
      <c r="M24" s="119"/>
      <c r="N24" s="119"/>
      <c r="O24" s="68">
        <f t="shared" si="14"/>
        <v>0</v>
      </c>
      <c r="P24" s="68">
        <f t="shared" si="15"/>
        <v>0</v>
      </c>
      <c r="Q24" s="68">
        <f t="shared" si="16"/>
        <v>0</v>
      </c>
      <c r="R24" s="68">
        <f t="shared" si="17"/>
        <v>0</v>
      </c>
      <c r="S24" s="68">
        <f t="shared" si="18"/>
        <v>0</v>
      </c>
      <c r="T24" s="168"/>
      <c r="U24" s="172"/>
    </row>
    <row r="25" spans="1:21" s="154" customFormat="1">
      <c r="A25" s="153" t="s">
        <v>360</v>
      </c>
      <c r="B25" s="124" t="s">
        <v>335</v>
      </c>
      <c r="C25" s="153">
        <f>SUM(C23:C24)</f>
        <v>9228477.4016560521</v>
      </c>
      <c r="D25" s="153">
        <f t="shared" ref="D25:N25" si="19">SUM(D23:D24)</f>
        <v>4930580.0229936307</v>
      </c>
      <c r="E25" s="153">
        <f t="shared" si="19"/>
        <v>18233956.121656053</v>
      </c>
      <c r="F25" s="153">
        <f t="shared" si="19"/>
        <v>16498636.968630577</v>
      </c>
      <c r="G25" s="153">
        <f t="shared" si="19"/>
        <v>15879436.248592356</v>
      </c>
      <c r="H25" s="153">
        <f t="shared" si="19"/>
        <v>0</v>
      </c>
      <c r="I25" s="153">
        <f t="shared" si="19"/>
        <v>0</v>
      </c>
      <c r="J25" s="153">
        <f t="shared" si="19"/>
        <v>0</v>
      </c>
      <c r="K25" s="153">
        <f t="shared" si="19"/>
        <v>0</v>
      </c>
      <c r="L25" s="153">
        <f t="shared" si="19"/>
        <v>0</v>
      </c>
      <c r="M25" s="153">
        <f t="shared" si="19"/>
        <v>0</v>
      </c>
      <c r="N25" s="153">
        <f t="shared" si="19"/>
        <v>0</v>
      </c>
      <c r="O25" s="124">
        <f t="shared" si="14"/>
        <v>64771086.763528667</v>
      </c>
      <c r="P25" s="124">
        <f t="shared" si="15"/>
        <v>32393013.546305735</v>
      </c>
      <c r="Q25" s="124">
        <f t="shared" si="16"/>
        <v>32378073.217222933</v>
      </c>
      <c r="R25" s="124">
        <f t="shared" si="17"/>
        <v>0</v>
      </c>
      <c r="S25" s="124">
        <f t="shared" si="18"/>
        <v>0</v>
      </c>
      <c r="T25" s="168"/>
      <c r="U25" s="172"/>
    </row>
    <row r="26" spans="1:21" s="143" customFormat="1" hidden="1">
      <c r="A26" s="80" t="s">
        <v>250</v>
      </c>
      <c r="B26" s="80" t="s">
        <v>101</v>
      </c>
      <c r="C26" s="121"/>
      <c r="D26" s="121"/>
      <c r="E26" s="121"/>
      <c r="F26" s="121"/>
      <c r="G26" s="121"/>
      <c r="H26" s="121"/>
      <c r="I26" s="121"/>
      <c r="J26" s="121"/>
      <c r="K26" s="121"/>
      <c r="L26" s="121"/>
      <c r="M26" s="119"/>
      <c r="N26" s="119"/>
      <c r="O26" s="68">
        <f t="shared" ref="O26:O34" si="20">SUM(C26:N26)</f>
        <v>0</v>
      </c>
      <c r="P26" s="68">
        <f t="shared" si="15"/>
        <v>0</v>
      </c>
      <c r="Q26" s="68">
        <f t="shared" si="16"/>
        <v>0</v>
      </c>
      <c r="R26" s="68">
        <f t="shared" si="17"/>
        <v>0</v>
      </c>
      <c r="S26" s="68">
        <f t="shared" si="18"/>
        <v>0</v>
      </c>
      <c r="T26" s="168"/>
      <c r="U26" s="172"/>
    </row>
    <row r="27" spans="1:21" s="143" customFormat="1" hidden="1">
      <c r="A27" s="80" t="s">
        <v>251</v>
      </c>
      <c r="B27" s="80" t="s">
        <v>101</v>
      </c>
      <c r="C27" s="121"/>
      <c r="D27" s="121"/>
      <c r="E27" s="121"/>
      <c r="F27" s="121"/>
      <c r="G27" s="121"/>
      <c r="H27" s="121"/>
      <c r="I27" s="121"/>
      <c r="J27" s="121"/>
      <c r="K27" s="121"/>
      <c r="L27" s="121"/>
      <c r="M27" s="119"/>
      <c r="N27" s="119"/>
      <c r="O27" s="68">
        <f t="shared" si="20"/>
        <v>0</v>
      </c>
      <c r="P27" s="68">
        <f t="shared" si="15"/>
        <v>0</v>
      </c>
      <c r="Q27" s="68">
        <f t="shared" si="16"/>
        <v>0</v>
      </c>
      <c r="R27" s="68">
        <f t="shared" si="17"/>
        <v>0</v>
      </c>
      <c r="S27" s="68">
        <f t="shared" si="18"/>
        <v>0</v>
      </c>
      <c r="T27" s="168"/>
      <c r="U27" s="172"/>
    </row>
    <row r="28" spans="1:21" s="143" customFormat="1" hidden="1">
      <c r="A28" s="127" t="s">
        <v>252</v>
      </c>
      <c r="B28" s="80" t="s">
        <v>101</v>
      </c>
      <c r="C28" s="140"/>
      <c r="D28" s="121"/>
      <c r="E28" s="140"/>
      <c r="F28" s="140"/>
      <c r="G28" s="140"/>
      <c r="H28" s="140"/>
      <c r="I28" s="140"/>
      <c r="J28" s="140"/>
      <c r="K28" s="121"/>
      <c r="L28" s="140"/>
      <c r="M28" s="119"/>
      <c r="N28" s="120"/>
      <c r="O28" s="68">
        <f t="shared" si="20"/>
        <v>0</v>
      </c>
      <c r="P28" s="68">
        <f t="shared" si="15"/>
        <v>0</v>
      </c>
      <c r="Q28" s="68">
        <f t="shared" si="16"/>
        <v>0</v>
      </c>
      <c r="R28" s="68">
        <f t="shared" si="17"/>
        <v>0</v>
      </c>
      <c r="S28" s="68">
        <f t="shared" si="18"/>
        <v>0</v>
      </c>
      <c r="T28" s="168"/>
      <c r="U28" s="172"/>
    </row>
    <row r="29" spans="1:21" s="143" customFormat="1" hidden="1">
      <c r="A29" s="80" t="s">
        <v>291</v>
      </c>
      <c r="B29" s="80" t="s">
        <v>101</v>
      </c>
      <c r="C29" s="121"/>
      <c r="D29" s="121"/>
      <c r="E29" s="121"/>
      <c r="F29" s="121"/>
      <c r="G29" s="121"/>
      <c r="H29" s="121"/>
      <c r="I29" s="121"/>
      <c r="J29" s="121"/>
      <c r="K29" s="121"/>
      <c r="L29" s="121"/>
      <c r="M29" s="119"/>
      <c r="N29" s="119"/>
      <c r="O29" s="68">
        <f t="shared" si="20"/>
        <v>0</v>
      </c>
      <c r="P29" s="68">
        <f t="shared" si="15"/>
        <v>0</v>
      </c>
      <c r="Q29" s="68">
        <f t="shared" si="16"/>
        <v>0</v>
      </c>
      <c r="R29" s="68">
        <f t="shared" si="17"/>
        <v>0</v>
      </c>
      <c r="S29" s="68">
        <f t="shared" si="18"/>
        <v>0</v>
      </c>
      <c r="T29" s="168"/>
      <c r="U29" s="172"/>
    </row>
    <row r="30" spans="1:21" s="143" customFormat="1" hidden="1">
      <c r="A30" s="80" t="s">
        <v>253</v>
      </c>
      <c r="B30" s="80" t="s">
        <v>101</v>
      </c>
      <c r="C30" s="121"/>
      <c r="D30" s="121"/>
      <c r="E30" s="121"/>
      <c r="F30" s="121"/>
      <c r="G30" s="121"/>
      <c r="H30" s="121"/>
      <c r="I30" s="121"/>
      <c r="J30" s="121"/>
      <c r="K30" s="121"/>
      <c r="L30" s="121"/>
      <c r="M30" s="119"/>
      <c r="N30" s="119"/>
      <c r="O30" s="68">
        <f t="shared" si="20"/>
        <v>0</v>
      </c>
      <c r="P30" s="68">
        <f t="shared" si="15"/>
        <v>0</v>
      </c>
      <c r="Q30" s="68">
        <f t="shared" si="16"/>
        <v>0</v>
      </c>
      <c r="R30" s="68">
        <f t="shared" si="17"/>
        <v>0</v>
      </c>
      <c r="S30" s="68">
        <f t="shared" si="18"/>
        <v>0</v>
      </c>
      <c r="T30" s="168"/>
      <c r="U30" s="172"/>
    </row>
    <row r="31" spans="1:21">
      <c r="A31" s="80" t="s">
        <v>275</v>
      </c>
      <c r="B31" s="80" t="s">
        <v>103</v>
      </c>
      <c r="C31" s="121">
        <v>15330</v>
      </c>
      <c r="D31" s="121">
        <v>17932</v>
      </c>
      <c r="E31" s="119">
        <v>26113</v>
      </c>
      <c r="F31" s="121">
        <v>23200</v>
      </c>
      <c r="G31" s="121">
        <v>27582</v>
      </c>
      <c r="H31" s="121"/>
      <c r="I31" s="121"/>
      <c r="J31" s="121"/>
      <c r="K31" s="121"/>
      <c r="L31" s="121"/>
      <c r="M31" s="121"/>
      <c r="N31" s="121"/>
      <c r="O31" s="68">
        <f t="shared" si="20"/>
        <v>110157</v>
      </c>
      <c r="P31" s="68">
        <f t="shared" si="15"/>
        <v>59375</v>
      </c>
      <c r="Q31" s="68">
        <f t="shared" si="16"/>
        <v>50782</v>
      </c>
      <c r="R31" s="68">
        <f t="shared" si="17"/>
        <v>0</v>
      </c>
      <c r="S31" s="68">
        <f t="shared" si="18"/>
        <v>0</v>
      </c>
      <c r="T31" s="168"/>
    </row>
    <row r="32" spans="1:21">
      <c r="A32" s="80" t="s">
        <v>292</v>
      </c>
      <c r="B32" s="80" t="s">
        <v>103</v>
      </c>
      <c r="C32" s="121">
        <v>0</v>
      </c>
      <c r="D32" s="121">
        <v>0</v>
      </c>
      <c r="E32" s="121">
        <v>0</v>
      </c>
      <c r="F32" s="121">
        <v>0</v>
      </c>
      <c r="G32" s="121">
        <v>0</v>
      </c>
      <c r="H32" s="121">
        <v>0</v>
      </c>
      <c r="I32" s="121">
        <v>0</v>
      </c>
      <c r="J32" s="121"/>
      <c r="K32" s="121">
        <v>0</v>
      </c>
      <c r="L32" s="121">
        <v>0</v>
      </c>
      <c r="M32" s="121">
        <v>0</v>
      </c>
      <c r="N32" s="121">
        <v>0</v>
      </c>
      <c r="O32" s="68">
        <f t="shared" si="20"/>
        <v>0</v>
      </c>
      <c r="P32" s="68">
        <f t="shared" si="15"/>
        <v>0</v>
      </c>
      <c r="Q32" s="68">
        <f t="shared" si="16"/>
        <v>0</v>
      </c>
      <c r="R32" s="68">
        <f t="shared" si="17"/>
        <v>0</v>
      </c>
      <c r="S32" s="68">
        <f t="shared" si="18"/>
        <v>0</v>
      </c>
      <c r="T32" s="168"/>
    </row>
    <row r="33" spans="1:22" s="143" customFormat="1" hidden="1">
      <c r="A33" s="80" t="s">
        <v>254</v>
      </c>
      <c r="B33" s="80" t="s">
        <v>101</v>
      </c>
      <c r="C33" s="121"/>
      <c r="D33" s="121"/>
      <c r="E33" s="121"/>
      <c r="F33" s="121"/>
      <c r="G33" s="121"/>
      <c r="H33" s="121"/>
      <c r="I33" s="121"/>
      <c r="J33" s="121"/>
      <c r="K33" s="121"/>
      <c r="L33" s="121"/>
      <c r="M33" s="119"/>
      <c r="N33" s="119"/>
      <c r="O33" s="68">
        <f t="shared" si="20"/>
        <v>0</v>
      </c>
      <c r="P33" s="68">
        <f t="shared" si="15"/>
        <v>0</v>
      </c>
      <c r="Q33" s="68">
        <f t="shared" si="16"/>
        <v>0</v>
      </c>
      <c r="R33" s="68">
        <f t="shared" si="17"/>
        <v>0</v>
      </c>
      <c r="S33" s="68">
        <f t="shared" si="18"/>
        <v>0</v>
      </c>
      <c r="T33" s="168"/>
      <c r="U33" s="172"/>
    </row>
    <row r="34" spans="1:22" s="143" customFormat="1">
      <c r="A34" s="121" t="s">
        <v>350</v>
      </c>
      <c r="B34" s="80" t="s">
        <v>101</v>
      </c>
      <c r="C34" s="108">
        <v>2.4460000000000002</v>
      </c>
      <c r="D34" s="108">
        <f>18544/1000</f>
        <v>18.544</v>
      </c>
      <c r="E34" s="161">
        <f>29067/1000</f>
        <v>29.067</v>
      </c>
      <c r="F34" s="161">
        <f>22056/1000</f>
        <v>22.056000000000001</v>
      </c>
      <c r="G34" s="161">
        <f>27452/1000</f>
        <v>27.452000000000002</v>
      </c>
      <c r="H34" s="161"/>
      <c r="I34" s="161"/>
      <c r="J34" s="161"/>
      <c r="K34" s="161"/>
      <c r="L34" s="161"/>
      <c r="M34" s="162"/>
      <c r="N34" s="207"/>
      <c r="O34" s="68">
        <f t="shared" si="20"/>
        <v>99.564999999999998</v>
      </c>
      <c r="P34" s="68">
        <f t="shared" si="15"/>
        <v>50.057000000000002</v>
      </c>
      <c r="Q34" s="68">
        <f t="shared" si="16"/>
        <v>49.508000000000003</v>
      </c>
      <c r="R34" s="68">
        <f t="shared" si="17"/>
        <v>0</v>
      </c>
      <c r="S34" s="68">
        <f t="shared" si="18"/>
        <v>0</v>
      </c>
      <c r="T34" s="168"/>
      <c r="U34" s="172"/>
    </row>
    <row r="35" spans="1:22" s="143" customFormat="1">
      <c r="A35" s="121" t="s">
        <v>348</v>
      </c>
      <c r="B35" s="80" t="s">
        <v>101</v>
      </c>
      <c r="C35" s="121">
        <v>0</v>
      </c>
      <c r="D35" s="121">
        <v>0</v>
      </c>
      <c r="E35" s="121">
        <v>0</v>
      </c>
      <c r="F35" s="121">
        <v>0</v>
      </c>
      <c r="G35" s="121">
        <v>0</v>
      </c>
      <c r="H35" s="121">
        <v>0</v>
      </c>
      <c r="I35" s="121">
        <v>0</v>
      </c>
      <c r="J35" s="121">
        <v>0</v>
      </c>
      <c r="K35" s="121">
        <v>0</v>
      </c>
      <c r="L35" s="121">
        <v>0</v>
      </c>
      <c r="M35" s="119">
        <v>0</v>
      </c>
      <c r="N35" s="119">
        <v>0</v>
      </c>
      <c r="O35" s="68">
        <f>SUM(C35:N35)</f>
        <v>0</v>
      </c>
      <c r="P35" s="68">
        <f t="shared" si="15"/>
        <v>0</v>
      </c>
      <c r="Q35" s="68">
        <f t="shared" si="16"/>
        <v>0</v>
      </c>
      <c r="R35" s="68">
        <f t="shared" si="17"/>
        <v>0</v>
      </c>
      <c r="S35" s="68">
        <f t="shared" si="18"/>
        <v>0</v>
      </c>
      <c r="T35" s="168"/>
      <c r="U35" s="172"/>
    </row>
    <row r="36" spans="1:22" s="154" customFormat="1">
      <c r="A36" s="124" t="s">
        <v>361</v>
      </c>
      <c r="B36" s="124" t="s">
        <v>101</v>
      </c>
      <c r="C36" s="153">
        <f>SUM(C34:C35)</f>
        <v>2.4460000000000002</v>
      </c>
      <c r="D36" s="153">
        <f>SUM(D34:D35)</f>
        <v>18.544</v>
      </c>
      <c r="E36" s="163">
        <f t="shared" ref="E36:S36" si="21">SUM(E34:E35)</f>
        <v>29.067</v>
      </c>
      <c r="F36" s="163">
        <f t="shared" si="21"/>
        <v>22.056000000000001</v>
      </c>
      <c r="G36" s="163">
        <f t="shared" si="21"/>
        <v>27.452000000000002</v>
      </c>
      <c r="H36" s="163">
        <f t="shared" si="21"/>
        <v>0</v>
      </c>
      <c r="I36" s="163">
        <f t="shared" si="21"/>
        <v>0</v>
      </c>
      <c r="J36" s="163">
        <f t="shared" si="21"/>
        <v>0</v>
      </c>
      <c r="K36" s="163">
        <f t="shared" si="21"/>
        <v>0</v>
      </c>
      <c r="L36" s="163">
        <f t="shared" si="21"/>
        <v>0</v>
      </c>
      <c r="M36" s="163">
        <f t="shared" si="21"/>
        <v>0</v>
      </c>
      <c r="N36" s="153">
        <f t="shared" si="21"/>
        <v>0</v>
      </c>
      <c r="O36" s="153">
        <f>SUM(O34:O35)</f>
        <v>99.564999999999998</v>
      </c>
      <c r="P36" s="153">
        <f t="shared" si="21"/>
        <v>50.057000000000002</v>
      </c>
      <c r="Q36" s="153">
        <f t="shared" si="21"/>
        <v>49.508000000000003</v>
      </c>
      <c r="R36" s="153">
        <f t="shared" si="21"/>
        <v>0</v>
      </c>
      <c r="S36" s="153">
        <f t="shared" si="21"/>
        <v>0</v>
      </c>
      <c r="T36" s="171"/>
      <c r="U36" s="172"/>
    </row>
    <row r="37" spans="1:22" s="143" customFormat="1">
      <c r="A37" s="121" t="s">
        <v>349</v>
      </c>
      <c r="B37" s="80" t="s">
        <v>333</v>
      </c>
      <c r="C37" s="121">
        <v>3000</v>
      </c>
      <c r="D37" s="121">
        <v>3000</v>
      </c>
      <c r="E37" s="121">
        <v>3000</v>
      </c>
      <c r="F37" s="121">
        <v>3000</v>
      </c>
      <c r="G37" s="121">
        <v>3000</v>
      </c>
      <c r="H37" s="121">
        <v>3000</v>
      </c>
      <c r="I37" s="121">
        <v>3000</v>
      </c>
      <c r="J37" s="121">
        <v>3000</v>
      </c>
      <c r="K37" s="121">
        <v>3000</v>
      </c>
      <c r="L37" s="121">
        <v>3000</v>
      </c>
      <c r="M37" s="121">
        <v>3000</v>
      </c>
      <c r="N37" s="121">
        <v>3000</v>
      </c>
      <c r="O37" s="68">
        <f>IF(O36=0,"0",(SUMPRODUCT(C36:N36,C37:N37)/O36))</f>
        <v>3000</v>
      </c>
      <c r="P37" s="68">
        <f>IF(P36=0,"0",(SUMPRODUCT(C36:E36,C37:E37)/P36))</f>
        <v>3000</v>
      </c>
      <c r="Q37" s="68">
        <f>IF(Q36=0,"0",(SUMPRODUCT(F36:H36,F37:H37)/Q36))</f>
        <v>3000</v>
      </c>
      <c r="R37" s="68" t="str">
        <f>IF(R36=0,"0",(SUMPRODUCT(I36:K36,I37:K37)/R36))</f>
        <v>0</v>
      </c>
      <c r="S37" s="68" t="str">
        <f>IF(S36=0,"0",(SUMPRODUCT(L36:N36,L37:N37)/S36))</f>
        <v>0</v>
      </c>
      <c r="T37" s="168"/>
      <c r="U37" s="172"/>
    </row>
    <row r="38" spans="1:22">
      <c r="A38" s="121" t="s">
        <v>320</v>
      </c>
      <c r="B38" s="80" t="s">
        <v>100</v>
      </c>
      <c r="C38" s="121">
        <v>1214.6904</v>
      </c>
      <c r="D38" s="121">
        <f>885068.799999999/1000</f>
        <v>885.06879999999899</v>
      </c>
      <c r="E38" s="121">
        <f>2076956.8/1000</f>
        <v>2076.9567999999999</v>
      </c>
      <c r="F38" s="121">
        <f>1968709.6/1000</f>
        <v>1968.7096000000001</v>
      </c>
      <c r="G38" s="121">
        <f>2088979.2/1000</f>
        <v>2088.9791999999998</v>
      </c>
      <c r="H38" s="121"/>
      <c r="I38" s="121"/>
      <c r="J38" s="121"/>
      <c r="K38" s="121"/>
      <c r="L38" s="121"/>
      <c r="M38" s="121"/>
      <c r="N38" s="121"/>
      <c r="O38" s="68">
        <f t="shared" ref="O38" si="22">SUM(C38:N38)</f>
        <v>8234.4047999999984</v>
      </c>
      <c r="P38" s="68">
        <f t="shared" ref="P38:P39" si="23">SUM(C38:E38)</f>
        <v>4176.7159999999985</v>
      </c>
      <c r="Q38" s="68">
        <f t="shared" ref="Q38:Q39" si="24">SUM(F38:H38)</f>
        <v>4057.6887999999999</v>
      </c>
      <c r="R38" s="68">
        <f t="shared" ref="R38:R39" si="25">SUM(I38:K38)</f>
        <v>0</v>
      </c>
      <c r="S38" s="68">
        <f t="shared" ref="S38:S39" si="26">SUM(L38:N38)</f>
        <v>0</v>
      </c>
      <c r="T38" s="168"/>
    </row>
    <row r="39" spans="1:22">
      <c r="A39" s="121" t="s">
        <v>319</v>
      </c>
      <c r="B39" s="80" t="s">
        <v>100</v>
      </c>
      <c r="C39" s="121">
        <v>0</v>
      </c>
      <c r="D39" s="121">
        <v>0</v>
      </c>
      <c r="E39" s="161">
        <v>0</v>
      </c>
      <c r="F39" s="161">
        <v>0</v>
      </c>
      <c r="G39" s="161">
        <v>0</v>
      </c>
      <c r="H39" s="161">
        <v>0</v>
      </c>
      <c r="I39" s="161">
        <v>0</v>
      </c>
      <c r="J39" s="161"/>
      <c r="K39" s="161"/>
      <c r="L39" s="161"/>
      <c r="M39" s="161">
        <v>0</v>
      </c>
      <c r="N39" s="161">
        <v>0</v>
      </c>
      <c r="O39" s="68">
        <f>SUM(C39:N39)</f>
        <v>0</v>
      </c>
      <c r="P39" s="68">
        <f t="shared" si="23"/>
        <v>0</v>
      </c>
      <c r="Q39" s="68">
        <f t="shared" si="24"/>
        <v>0</v>
      </c>
      <c r="R39" s="68">
        <f t="shared" si="25"/>
        <v>0</v>
      </c>
      <c r="S39" s="68">
        <f t="shared" si="26"/>
        <v>0</v>
      </c>
      <c r="T39" s="168"/>
    </row>
    <row r="40" spans="1:22" s="145" customFormat="1">
      <c r="A40" s="124" t="s">
        <v>362</v>
      </c>
      <c r="B40" s="124" t="s">
        <v>100</v>
      </c>
      <c r="C40" s="153">
        <f t="shared" ref="C40:S42" si="27">SUM(C38:C39)</f>
        <v>1214.6904</v>
      </c>
      <c r="D40" s="153">
        <f t="shared" si="27"/>
        <v>885.06879999999899</v>
      </c>
      <c r="E40" s="153">
        <f t="shared" si="27"/>
        <v>2076.9567999999999</v>
      </c>
      <c r="F40" s="153">
        <f t="shared" si="27"/>
        <v>1968.7096000000001</v>
      </c>
      <c r="G40" s="153">
        <f t="shared" si="27"/>
        <v>2088.9791999999998</v>
      </c>
      <c r="H40" s="153">
        <f t="shared" si="27"/>
        <v>0</v>
      </c>
      <c r="I40" s="153">
        <f t="shared" si="27"/>
        <v>0</v>
      </c>
      <c r="J40" s="153">
        <f t="shared" si="27"/>
        <v>0</v>
      </c>
      <c r="K40" s="153">
        <f t="shared" si="27"/>
        <v>0</v>
      </c>
      <c r="L40" s="153">
        <f t="shared" si="27"/>
        <v>0</v>
      </c>
      <c r="M40" s="153">
        <f t="shared" si="27"/>
        <v>0</v>
      </c>
      <c r="N40" s="153">
        <f t="shared" si="27"/>
        <v>0</v>
      </c>
      <c r="O40" s="153">
        <f t="shared" si="27"/>
        <v>8234.4047999999984</v>
      </c>
      <c r="P40" s="153">
        <f t="shared" si="27"/>
        <v>4176.7159999999985</v>
      </c>
      <c r="Q40" s="153">
        <f t="shared" si="27"/>
        <v>4057.6887999999999</v>
      </c>
      <c r="R40" s="153">
        <f t="shared" si="27"/>
        <v>0</v>
      </c>
      <c r="S40" s="153">
        <f t="shared" si="27"/>
        <v>0</v>
      </c>
      <c r="T40" s="171"/>
      <c r="U40" s="157"/>
    </row>
    <row r="41" spans="1:22" s="143" customFormat="1" hidden="1">
      <c r="A41" s="144" t="s">
        <v>255</v>
      </c>
      <c r="B41" s="144" t="s">
        <v>100</v>
      </c>
      <c r="C41" s="119"/>
      <c r="D41" s="119"/>
      <c r="E41" s="119"/>
      <c r="F41" s="119"/>
      <c r="G41" s="119"/>
      <c r="H41" s="119"/>
      <c r="I41" s="119"/>
      <c r="J41" s="119"/>
      <c r="K41" s="119"/>
      <c r="L41" s="119"/>
      <c r="M41" s="119"/>
      <c r="N41" s="119"/>
      <c r="O41" s="153">
        <f t="shared" si="27"/>
        <v>8234.4047999999984</v>
      </c>
      <c r="P41" s="153">
        <f t="shared" si="27"/>
        <v>4176.7159999999985</v>
      </c>
      <c r="Q41" s="153">
        <f t="shared" si="27"/>
        <v>4057.6887999999999</v>
      </c>
      <c r="R41" s="153">
        <f t="shared" si="27"/>
        <v>0</v>
      </c>
      <c r="S41" s="153">
        <f t="shared" si="27"/>
        <v>0</v>
      </c>
      <c r="T41" s="168"/>
      <c r="U41" s="172"/>
    </row>
    <row r="42" spans="1:22" s="143" customFormat="1" hidden="1">
      <c r="A42" s="144" t="s">
        <v>256</v>
      </c>
      <c r="B42" s="144" t="s">
        <v>100</v>
      </c>
      <c r="C42" s="119"/>
      <c r="D42" s="119"/>
      <c r="E42" s="119"/>
      <c r="F42" s="119"/>
      <c r="G42" s="119"/>
      <c r="H42" s="119"/>
      <c r="I42" s="119"/>
      <c r="J42" s="119"/>
      <c r="K42" s="119"/>
      <c r="L42" s="119"/>
      <c r="M42" s="119"/>
      <c r="N42" s="119"/>
      <c r="O42" s="153">
        <f t="shared" si="27"/>
        <v>16468.809599999997</v>
      </c>
      <c r="P42" s="153">
        <f t="shared" si="27"/>
        <v>8353.4319999999971</v>
      </c>
      <c r="Q42" s="153">
        <f t="shared" si="27"/>
        <v>8115.3775999999998</v>
      </c>
      <c r="R42" s="153">
        <f t="shared" si="27"/>
        <v>0</v>
      </c>
      <c r="S42" s="153">
        <f t="shared" si="27"/>
        <v>0</v>
      </c>
      <c r="T42" s="168"/>
      <c r="U42" s="172"/>
    </row>
    <row r="43" spans="1:22">
      <c r="A43" s="130" t="s">
        <v>336</v>
      </c>
      <c r="B43" s="68" t="s">
        <v>98</v>
      </c>
      <c r="C43" s="68">
        <f>(C3*C18*(4186/1000000))+(C4*C19*(4186/1000000))+(C5*C20*(4186/1000000))+(C6*C21*(4186/1000000)+(C26*$C$101)+(C27*$C$102)+(C28*$C$103)+(C29*$C$104)+(C30*$C$107)+(C31*$C$107)+(C32*$C$109)+(C33*$C$110)+(C34*C37*(4186/1000000))+(C69*$C$107))</f>
        <v>52581.9498742</v>
      </c>
      <c r="D43" s="68">
        <f t="shared" ref="D43:N43" si="28">(D3*D18*(4186/1000000))+(D4*D19*(4186/1000000))+(D5*D20*(4186/1000000))+(D6*D21*(4186/1000000)+(D26*$C$101)+(D27*$C$102)+(D28*$C$103)+(D29*$C$104)+(D30*$C$107)+(D31*$C$107)+(D32*$C$109)+(D33*$C$110)+(D34*D37*(4186/1000000))+(D69*$C$107))</f>
        <v>41854.527687599999</v>
      </c>
      <c r="E43" s="68">
        <f t="shared" si="28"/>
        <v>104768.71200359998</v>
      </c>
      <c r="F43" s="68">
        <f t="shared" si="28"/>
        <v>93646.329262079977</v>
      </c>
      <c r="G43" s="68">
        <f t="shared" si="28"/>
        <v>88677.118968439987</v>
      </c>
      <c r="H43" s="68">
        <f t="shared" si="28"/>
        <v>0</v>
      </c>
      <c r="I43" s="68">
        <f t="shared" si="28"/>
        <v>0</v>
      </c>
      <c r="J43" s="68">
        <f t="shared" si="28"/>
        <v>0</v>
      </c>
      <c r="K43" s="68">
        <f t="shared" si="28"/>
        <v>0</v>
      </c>
      <c r="L43" s="68">
        <f t="shared" si="28"/>
        <v>0</v>
      </c>
      <c r="M43" s="68">
        <f t="shared" si="28"/>
        <v>0</v>
      </c>
      <c r="N43" s="68">
        <f t="shared" si="28"/>
        <v>0</v>
      </c>
      <c r="O43" s="155">
        <f t="shared" ref="O43:O45" si="29">SUM(C43:N43)</f>
        <v>381528.63779591996</v>
      </c>
      <c r="P43" s="155">
        <f t="shared" ref="P43:P45" si="30">SUM(C43:E43)</f>
        <v>199205.18956539998</v>
      </c>
      <c r="Q43" s="155">
        <f t="shared" ref="Q43:Q45" si="31">SUM(F43:H43)</f>
        <v>182323.44823051995</v>
      </c>
      <c r="R43" s="155">
        <f t="shared" ref="R43:R45" si="32">SUM(I43:K43)</f>
        <v>0</v>
      </c>
      <c r="S43" s="155">
        <f t="shared" ref="S43:S45" si="33">SUM(L43:N43)</f>
        <v>0</v>
      </c>
      <c r="T43" s="168"/>
    </row>
    <row r="44" spans="1:22">
      <c r="A44" s="130" t="s">
        <v>337</v>
      </c>
      <c r="B44" s="68" t="s">
        <v>98</v>
      </c>
      <c r="C44" s="68">
        <f>(C7*C18)+(C8*C19)+(C9*C20)+(C10*C21)+(C35*C37*(4186/1000000))</f>
        <v>0</v>
      </c>
      <c r="D44" s="68">
        <f t="shared" ref="D44:N44" si="34">(D7*D18)+(D8*D19)+(D9*D20)+(D10*D21)+(D35*D37*(4186/1000000))</f>
        <v>0</v>
      </c>
      <c r="E44" s="68">
        <f t="shared" si="34"/>
        <v>0</v>
      </c>
      <c r="F44" s="68">
        <f t="shared" si="34"/>
        <v>0</v>
      </c>
      <c r="G44" s="68">
        <f t="shared" si="34"/>
        <v>0</v>
      </c>
      <c r="H44" s="68">
        <f t="shared" si="34"/>
        <v>0</v>
      </c>
      <c r="I44" s="68">
        <f t="shared" si="34"/>
        <v>0</v>
      </c>
      <c r="J44" s="68">
        <f t="shared" si="34"/>
        <v>0</v>
      </c>
      <c r="K44" s="68">
        <f t="shared" si="34"/>
        <v>0</v>
      </c>
      <c r="L44" s="68">
        <f t="shared" si="34"/>
        <v>0</v>
      </c>
      <c r="M44" s="68">
        <f t="shared" si="34"/>
        <v>0</v>
      </c>
      <c r="N44" s="68">
        <f t="shared" si="34"/>
        <v>0</v>
      </c>
      <c r="O44" s="155">
        <f t="shared" si="29"/>
        <v>0</v>
      </c>
      <c r="P44" s="155">
        <f t="shared" si="30"/>
        <v>0</v>
      </c>
      <c r="Q44" s="155">
        <f t="shared" si="31"/>
        <v>0</v>
      </c>
      <c r="R44" s="155">
        <f t="shared" si="32"/>
        <v>0</v>
      </c>
      <c r="S44" s="155">
        <f t="shared" si="33"/>
        <v>0</v>
      </c>
      <c r="T44" s="168"/>
    </row>
    <row r="45" spans="1:22" s="145" customFormat="1">
      <c r="A45" s="202" t="s">
        <v>363</v>
      </c>
      <c r="B45" s="203" t="s">
        <v>98</v>
      </c>
      <c r="C45" s="203">
        <f>(C11*C18*(4186/1000000))+(C12*C19*(4186/1000000))+(C13*C20*(4186/1000000))+(C14*C21*(4186/1000000))+(C26*$C$101)+(C27*$C$102)+(C28*$C$103)+(C29*$C$104)+(C30*$C$107)+(C31*$C$107)+(C32*$C$109)+(C33*$C$110)+(C36*C37*(4186/1000000))+(C69*$C$107)</f>
        <v>52581.9498742</v>
      </c>
      <c r="D45" s="203">
        <f t="shared" ref="D45:N45" si="35">(D11*D18*(4186/1000000))+(D12*D19*(4186/1000000))+(D13*D20*(4186/1000000))+(D14*D21*(4186/1000000))+(D26*$C$101)+(D27*$C$102)+(D28*$C$103)+(D29*$C$104)+(D30*$C$107)+(D31*$C$107)+(D32*$C$109)+(D33*$C$110)+(D36*D37*(4186/1000000))+(D69*$C$107)</f>
        <v>41854.527687599999</v>
      </c>
      <c r="E45" s="203">
        <f t="shared" si="35"/>
        <v>104768.71200359998</v>
      </c>
      <c r="F45" s="203">
        <f>(F11*F18*(4186/1000000))+(F12*F19*(4186/1000000))+(F13*F20*(4186/1000000))+(F14*F21*(4186/1000000))+(F26*$C$101)+(F27*$C$102)+(F28*$C$103)+(F29*$C$104)+(F30*$C$107)+(F31*$C$107)+(F32*$C$109)+(F33*$C$110)+(F36*F37*(4186/1000000))+(F69*$C$107)</f>
        <v>93646.329262079991</v>
      </c>
      <c r="G45" s="203">
        <f t="shared" si="35"/>
        <v>88677.118968439987</v>
      </c>
      <c r="H45" s="203">
        <f t="shared" si="35"/>
        <v>0</v>
      </c>
      <c r="I45" s="203">
        <f t="shared" si="35"/>
        <v>0</v>
      </c>
      <c r="J45" s="203">
        <f t="shared" si="35"/>
        <v>0</v>
      </c>
      <c r="K45" s="203">
        <f t="shared" si="35"/>
        <v>0</v>
      </c>
      <c r="L45" s="203">
        <f t="shared" si="35"/>
        <v>0</v>
      </c>
      <c r="M45" s="203">
        <f t="shared" si="35"/>
        <v>0</v>
      </c>
      <c r="N45" s="203">
        <f t="shared" si="35"/>
        <v>0</v>
      </c>
      <c r="O45" s="202">
        <f t="shared" si="29"/>
        <v>381528.63779591996</v>
      </c>
      <c r="P45" s="202">
        <f t="shared" si="30"/>
        <v>199205.18956539998</v>
      </c>
      <c r="Q45" s="202">
        <f t="shared" si="31"/>
        <v>182323.44823051998</v>
      </c>
      <c r="R45" s="202">
        <f t="shared" si="32"/>
        <v>0</v>
      </c>
      <c r="S45" s="202">
        <f t="shared" si="33"/>
        <v>0</v>
      </c>
      <c r="T45" s="173" t="s">
        <v>407</v>
      </c>
      <c r="U45" s="174">
        <f>O45/'Production, Raw Mat'!$O$5</f>
        <v>2.250748483181177</v>
      </c>
      <c r="V45" s="132" t="s">
        <v>120</v>
      </c>
    </row>
    <row r="46" spans="1:22" s="145" customFormat="1" ht="12" customHeight="1">
      <c r="A46" s="130" t="s">
        <v>366</v>
      </c>
      <c r="B46" s="68" t="s">
        <v>98</v>
      </c>
      <c r="C46" s="146">
        <f>(C23*(4186/1000000))+(C26*$C$101)+(C27*$C$102)+(C28*$C$103)+(C29*$C$104)+(C30*$C$107)+(C31*$C$107)+(C32*$C$109)+(C33*$C$110)+(C69*$C$107)</f>
        <v>39261.565003332224</v>
      </c>
      <c r="D46" s="146">
        <f t="shared" ref="D46:N46" si="36">(D23*(4186/1000000))+(D26*$C$101)+(D27*$C$102)+(D28*$C$103)+(D29*$C$104)+(D30*$C$107)+(D31*$C$107)+(D32*$C$109)+(D33*$C$110)+(D69*$C$107)</f>
        <v>21292.491416251334</v>
      </c>
      <c r="E46" s="146">
        <f t="shared" si="36"/>
        <v>77478.685785252223</v>
      </c>
      <c r="F46" s="146">
        <f t="shared" si="36"/>
        <v>69981.078350687589</v>
      </c>
      <c r="G46" s="146">
        <f t="shared" si="36"/>
        <v>67475.856576607592</v>
      </c>
      <c r="H46" s="146">
        <f t="shared" si="36"/>
        <v>0</v>
      </c>
      <c r="I46" s="146">
        <f t="shared" si="36"/>
        <v>0</v>
      </c>
      <c r="J46" s="146">
        <f t="shared" si="36"/>
        <v>0</v>
      </c>
      <c r="K46" s="146">
        <f t="shared" si="36"/>
        <v>0</v>
      </c>
      <c r="L46" s="146">
        <f t="shared" si="36"/>
        <v>0</v>
      </c>
      <c r="M46" s="146">
        <f t="shared" si="36"/>
        <v>0</v>
      </c>
      <c r="N46" s="146">
        <f t="shared" si="36"/>
        <v>0</v>
      </c>
      <c r="O46" s="146">
        <f t="shared" ref="O46:O54" si="37">SUM(C46:N46)</f>
        <v>275489.67713213095</v>
      </c>
      <c r="P46" s="146">
        <f t="shared" ref="P46:P54" si="38">SUM(C46:E46)</f>
        <v>138032.74220483578</v>
      </c>
      <c r="Q46" s="146">
        <f t="shared" ref="Q46:Q54" si="39">SUM(F46:H46)</f>
        <v>137456.93492729519</v>
      </c>
      <c r="R46" s="146">
        <f t="shared" ref="R46:R54" si="40">SUM(I46:K46)</f>
        <v>0</v>
      </c>
      <c r="S46" s="146">
        <f t="shared" ref="S46:S54" si="41">SUM(L46:N46)</f>
        <v>0</v>
      </c>
      <c r="T46" s="168"/>
      <c r="U46" s="157"/>
    </row>
    <row r="47" spans="1:22" s="145" customFormat="1" ht="12" customHeight="1">
      <c r="A47" s="130" t="s">
        <v>367</v>
      </c>
      <c r="B47" s="68" t="s">
        <v>98</v>
      </c>
      <c r="C47" s="146">
        <f t="shared" ref="C47:N47" si="42">(C24*(4186/1000000))</f>
        <v>0</v>
      </c>
      <c r="D47" s="146">
        <f t="shared" si="42"/>
        <v>0</v>
      </c>
      <c r="E47" s="146">
        <f t="shared" si="42"/>
        <v>0</v>
      </c>
      <c r="F47" s="146">
        <f t="shared" si="42"/>
        <v>0</v>
      </c>
      <c r="G47" s="146">
        <f t="shared" si="42"/>
        <v>0</v>
      </c>
      <c r="H47" s="146">
        <f t="shared" si="42"/>
        <v>0</v>
      </c>
      <c r="I47" s="146">
        <f t="shared" si="42"/>
        <v>0</v>
      </c>
      <c r="J47" s="146">
        <f t="shared" si="42"/>
        <v>0</v>
      </c>
      <c r="K47" s="146">
        <f t="shared" si="42"/>
        <v>0</v>
      </c>
      <c r="L47" s="146">
        <f t="shared" si="42"/>
        <v>0</v>
      </c>
      <c r="M47" s="146">
        <f t="shared" si="42"/>
        <v>0</v>
      </c>
      <c r="N47" s="146">
        <f t="shared" si="42"/>
        <v>0</v>
      </c>
      <c r="O47" s="146">
        <f t="shared" si="37"/>
        <v>0</v>
      </c>
      <c r="P47" s="146">
        <f t="shared" si="38"/>
        <v>0</v>
      </c>
      <c r="Q47" s="146">
        <f t="shared" si="39"/>
        <v>0</v>
      </c>
      <c r="R47" s="146">
        <f t="shared" si="40"/>
        <v>0</v>
      </c>
      <c r="S47" s="146">
        <f t="shared" si="41"/>
        <v>0</v>
      </c>
      <c r="T47" s="168"/>
      <c r="U47" s="157"/>
    </row>
    <row r="48" spans="1:22" s="145" customFormat="1" ht="12" customHeight="1">
      <c r="A48" s="153" t="s">
        <v>368</v>
      </c>
      <c r="B48" s="124" t="s">
        <v>98</v>
      </c>
      <c r="C48" s="124">
        <f t="shared" ref="C48:N48" si="43">(C25*(4186/1000000))+(C26*$C$101)+(C27*$C$102)+(C28*$C$103)+(C29*$C$104)+(C30*$C$107)+(C31*$C$107)+(C32*$C$109)+(C33*$C$110)+(C69*$C$107)</f>
        <v>39261.565003332224</v>
      </c>
      <c r="D48" s="124">
        <f t="shared" si="43"/>
        <v>21292.491416251334</v>
      </c>
      <c r="E48" s="124">
        <f t="shared" si="43"/>
        <v>77478.685785252223</v>
      </c>
      <c r="F48" s="124">
        <f t="shared" si="43"/>
        <v>69981.078350687589</v>
      </c>
      <c r="G48" s="124">
        <f t="shared" si="43"/>
        <v>67475.856576607592</v>
      </c>
      <c r="H48" s="124">
        <f t="shared" si="43"/>
        <v>0</v>
      </c>
      <c r="I48" s="124">
        <f t="shared" si="43"/>
        <v>0</v>
      </c>
      <c r="J48" s="124">
        <f t="shared" si="43"/>
        <v>0</v>
      </c>
      <c r="K48" s="124">
        <f t="shared" si="43"/>
        <v>0</v>
      </c>
      <c r="L48" s="124">
        <f t="shared" si="43"/>
        <v>0</v>
      </c>
      <c r="M48" s="124">
        <f t="shared" si="43"/>
        <v>0</v>
      </c>
      <c r="N48" s="124">
        <f t="shared" si="43"/>
        <v>0</v>
      </c>
      <c r="O48" s="124">
        <f t="shared" si="37"/>
        <v>275489.67713213095</v>
      </c>
      <c r="P48" s="124">
        <f t="shared" si="38"/>
        <v>138032.74220483578</v>
      </c>
      <c r="Q48" s="124">
        <f t="shared" si="39"/>
        <v>137456.93492729519</v>
      </c>
      <c r="R48" s="124">
        <f t="shared" si="40"/>
        <v>0</v>
      </c>
      <c r="S48" s="124">
        <f t="shared" si="41"/>
        <v>0</v>
      </c>
      <c r="T48" s="168"/>
      <c r="U48" s="174"/>
    </row>
    <row r="49" spans="1:22">
      <c r="A49" s="68" t="s">
        <v>322</v>
      </c>
      <c r="B49" s="68" t="s">
        <v>98</v>
      </c>
      <c r="C49" s="68">
        <f t="shared" ref="C49:N49" si="44">(C38*$C$112)+(C41*$C$113)+(C42*$C$114)</f>
        <v>4372.88544</v>
      </c>
      <c r="D49" s="68">
        <f t="shared" si="44"/>
        <v>3186.2476799999963</v>
      </c>
      <c r="E49" s="68">
        <f t="shared" si="44"/>
        <v>7477.0444799999996</v>
      </c>
      <c r="F49" s="68">
        <f t="shared" si="44"/>
        <v>7087.3545600000007</v>
      </c>
      <c r="G49" s="68">
        <f t="shared" si="44"/>
        <v>7520.3251199999995</v>
      </c>
      <c r="H49" s="68">
        <f t="shared" si="44"/>
        <v>0</v>
      </c>
      <c r="I49" s="68">
        <f t="shared" si="44"/>
        <v>0</v>
      </c>
      <c r="J49" s="68">
        <f t="shared" si="44"/>
        <v>0</v>
      </c>
      <c r="K49" s="68">
        <f t="shared" si="44"/>
        <v>0</v>
      </c>
      <c r="L49" s="68">
        <f t="shared" si="44"/>
        <v>0</v>
      </c>
      <c r="M49" s="68">
        <f t="shared" si="44"/>
        <v>0</v>
      </c>
      <c r="N49" s="68">
        <f t="shared" si="44"/>
        <v>0</v>
      </c>
      <c r="O49" s="68">
        <f t="shared" si="37"/>
        <v>29643.857279999997</v>
      </c>
      <c r="P49" s="68">
        <f t="shared" si="38"/>
        <v>15036.177599999995</v>
      </c>
      <c r="Q49" s="68">
        <f t="shared" si="39"/>
        <v>14607.679680000001</v>
      </c>
      <c r="R49" s="68">
        <f t="shared" si="40"/>
        <v>0</v>
      </c>
      <c r="S49" s="68">
        <f t="shared" si="41"/>
        <v>0</v>
      </c>
      <c r="T49" s="168"/>
    </row>
    <row r="50" spans="1:22">
      <c r="A50" s="68" t="s">
        <v>321</v>
      </c>
      <c r="B50" s="68" t="s">
        <v>98</v>
      </c>
      <c r="C50" s="78">
        <f t="shared" ref="C50:N50" si="45">(C39*$C$112)</f>
        <v>0</v>
      </c>
      <c r="D50" s="78">
        <f t="shared" si="45"/>
        <v>0</v>
      </c>
      <c r="E50" s="78">
        <f t="shared" si="45"/>
        <v>0</v>
      </c>
      <c r="F50" s="78">
        <f t="shared" si="45"/>
        <v>0</v>
      </c>
      <c r="G50" s="78">
        <f t="shared" si="45"/>
        <v>0</v>
      </c>
      <c r="H50" s="78">
        <f t="shared" si="45"/>
        <v>0</v>
      </c>
      <c r="I50" s="78">
        <f t="shared" si="45"/>
        <v>0</v>
      </c>
      <c r="J50" s="78">
        <f t="shared" si="45"/>
        <v>0</v>
      </c>
      <c r="K50" s="78">
        <f t="shared" si="45"/>
        <v>0</v>
      </c>
      <c r="L50" s="78">
        <f t="shared" si="45"/>
        <v>0</v>
      </c>
      <c r="M50" s="78">
        <f t="shared" si="45"/>
        <v>0</v>
      </c>
      <c r="N50" s="78">
        <f t="shared" si="45"/>
        <v>0</v>
      </c>
      <c r="O50" s="78">
        <f t="shared" si="37"/>
        <v>0</v>
      </c>
      <c r="P50" s="78">
        <f t="shared" si="38"/>
        <v>0</v>
      </c>
      <c r="Q50" s="78">
        <f t="shared" si="39"/>
        <v>0</v>
      </c>
      <c r="R50" s="78">
        <f t="shared" si="40"/>
        <v>0</v>
      </c>
      <c r="S50" s="78">
        <f t="shared" si="41"/>
        <v>0</v>
      </c>
      <c r="T50" s="168"/>
    </row>
    <row r="51" spans="1:22" s="145" customFormat="1">
      <c r="A51" s="203" t="s">
        <v>364</v>
      </c>
      <c r="B51" s="203" t="s">
        <v>98</v>
      </c>
      <c r="C51" s="204">
        <f t="shared" ref="C51:N51" si="46">(C40*$C$112)+(C41*$C$113)+(C42*$C$114)</f>
        <v>4372.88544</v>
      </c>
      <c r="D51" s="204">
        <f t="shared" si="46"/>
        <v>3186.2476799999963</v>
      </c>
      <c r="E51" s="204">
        <f t="shared" si="46"/>
        <v>7477.0444799999996</v>
      </c>
      <c r="F51" s="204">
        <f t="shared" si="46"/>
        <v>7087.3545600000007</v>
      </c>
      <c r="G51" s="204">
        <f t="shared" si="46"/>
        <v>7520.3251199999995</v>
      </c>
      <c r="H51" s="204">
        <f t="shared" si="46"/>
        <v>0</v>
      </c>
      <c r="I51" s="204">
        <f t="shared" si="46"/>
        <v>0</v>
      </c>
      <c r="J51" s="204">
        <f t="shared" si="46"/>
        <v>0</v>
      </c>
      <c r="K51" s="204">
        <f t="shared" si="46"/>
        <v>0</v>
      </c>
      <c r="L51" s="204">
        <f t="shared" si="46"/>
        <v>0</v>
      </c>
      <c r="M51" s="204">
        <f t="shared" si="46"/>
        <v>0</v>
      </c>
      <c r="N51" s="204">
        <f t="shared" si="46"/>
        <v>0</v>
      </c>
      <c r="O51" s="204">
        <f t="shared" si="37"/>
        <v>29643.857279999997</v>
      </c>
      <c r="P51" s="204">
        <f t="shared" si="38"/>
        <v>15036.177599999995</v>
      </c>
      <c r="Q51" s="204">
        <f t="shared" si="39"/>
        <v>14607.679680000001</v>
      </c>
      <c r="R51" s="204">
        <f t="shared" si="40"/>
        <v>0</v>
      </c>
      <c r="S51" s="204">
        <f t="shared" si="41"/>
        <v>0</v>
      </c>
      <c r="T51" s="173" t="s">
        <v>407</v>
      </c>
      <c r="U51" s="174">
        <f>O51/'Production, Raw Mat'!$O$5</f>
        <v>0.17487774232111075</v>
      </c>
      <c r="V51" s="132" t="s">
        <v>120</v>
      </c>
    </row>
    <row r="52" spans="1:22">
      <c r="A52" s="68" t="s">
        <v>323</v>
      </c>
      <c r="B52" s="68" t="s">
        <v>98</v>
      </c>
      <c r="C52" s="78">
        <f t="shared" ref="C52:N52" si="47">(C34*C37*(4186/1000000))</f>
        <v>30.716868000000002</v>
      </c>
      <c r="D52" s="78">
        <f t="shared" si="47"/>
        <v>232.87555199999997</v>
      </c>
      <c r="E52" s="78">
        <f t="shared" si="47"/>
        <v>365.02338599999996</v>
      </c>
      <c r="F52" s="78">
        <f>(F34*F37*(4186/1000000))</f>
        <v>276.97924799999998</v>
      </c>
      <c r="G52" s="78">
        <f t="shared" si="47"/>
        <v>344.74221599999998</v>
      </c>
      <c r="H52" s="78">
        <f t="shared" si="47"/>
        <v>0</v>
      </c>
      <c r="I52" s="78">
        <f t="shared" si="47"/>
        <v>0</v>
      </c>
      <c r="J52" s="78">
        <f t="shared" si="47"/>
        <v>0</v>
      </c>
      <c r="K52" s="78">
        <f t="shared" si="47"/>
        <v>0</v>
      </c>
      <c r="L52" s="78">
        <f t="shared" si="47"/>
        <v>0</v>
      </c>
      <c r="M52" s="78">
        <f t="shared" si="47"/>
        <v>0</v>
      </c>
      <c r="N52" s="78">
        <f t="shared" si="47"/>
        <v>0</v>
      </c>
      <c r="O52" s="78">
        <f t="shared" si="37"/>
        <v>1250.33727</v>
      </c>
      <c r="P52" s="78">
        <f t="shared" si="38"/>
        <v>628.61580599999991</v>
      </c>
      <c r="Q52" s="78">
        <f t="shared" si="39"/>
        <v>621.72146399999997</v>
      </c>
      <c r="R52" s="78">
        <f t="shared" si="40"/>
        <v>0</v>
      </c>
      <c r="S52" s="78">
        <f t="shared" si="41"/>
        <v>0</v>
      </c>
      <c r="T52" s="168"/>
    </row>
    <row r="53" spans="1:22">
      <c r="A53" s="68" t="s">
        <v>324</v>
      </c>
      <c r="B53" s="68" t="s">
        <v>98</v>
      </c>
      <c r="C53" s="78">
        <f>(C35*C37*(4186/1000000))</f>
        <v>0</v>
      </c>
      <c r="D53" s="78">
        <f t="shared" ref="D53:N53" si="48">(D35*D37*(4186/1000000))</f>
        <v>0</v>
      </c>
      <c r="E53" s="78">
        <f t="shared" si="48"/>
        <v>0</v>
      </c>
      <c r="F53" s="78">
        <f t="shared" si="48"/>
        <v>0</v>
      </c>
      <c r="G53" s="78">
        <f t="shared" si="48"/>
        <v>0</v>
      </c>
      <c r="H53" s="78">
        <f t="shared" si="48"/>
        <v>0</v>
      </c>
      <c r="I53" s="78">
        <f t="shared" si="48"/>
        <v>0</v>
      </c>
      <c r="J53" s="78">
        <f t="shared" si="48"/>
        <v>0</v>
      </c>
      <c r="K53" s="78">
        <f t="shared" si="48"/>
        <v>0</v>
      </c>
      <c r="L53" s="78">
        <f t="shared" si="48"/>
        <v>0</v>
      </c>
      <c r="M53" s="78">
        <f t="shared" si="48"/>
        <v>0</v>
      </c>
      <c r="N53" s="78">
        <f t="shared" si="48"/>
        <v>0</v>
      </c>
      <c r="O53" s="78">
        <f t="shared" si="37"/>
        <v>0</v>
      </c>
      <c r="P53" s="78">
        <f t="shared" si="38"/>
        <v>0</v>
      </c>
      <c r="Q53" s="78">
        <f t="shared" si="39"/>
        <v>0</v>
      </c>
      <c r="R53" s="78">
        <f t="shared" si="40"/>
        <v>0</v>
      </c>
      <c r="S53" s="78">
        <f t="shared" si="41"/>
        <v>0</v>
      </c>
      <c r="T53" s="168"/>
    </row>
    <row r="54" spans="1:22" s="145" customFormat="1">
      <c r="A54" s="124" t="s">
        <v>365</v>
      </c>
      <c r="B54" s="124" t="s">
        <v>98</v>
      </c>
      <c r="C54" s="156">
        <f>(C36*C37*(4186/1000000))</f>
        <v>30.716868000000002</v>
      </c>
      <c r="D54" s="156">
        <f t="shared" ref="D54:N54" si="49">(D36*D37*(4186/1000000))</f>
        <v>232.87555199999997</v>
      </c>
      <c r="E54" s="156">
        <f t="shared" si="49"/>
        <v>365.02338599999996</v>
      </c>
      <c r="F54" s="156">
        <f t="shared" si="49"/>
        <v>276.97924799999998</v>
      </c>
      <c r="G54" s="156">
        <f t="shared" si="49"/>
        <v>344.74221599999998</v>
      </c>
      <c r="H54" s="156">
        <f t="shared" si="49"/>
        <v>0</v>
      </c>
      <c r="I54" s="156">
        <f t="shared" si="49"/>
        <v>0</v>
      </c>
      <c r="J54" s="156">
        <f t="shared" si="49"/>
        <v>0</v>
      </c>
      <c r="K54" s="156">
        <f t="shared" si="49"/>
        <v>0</v>
      </c>
      <c r="L54" s="156">
        <f t="shared" si="49"/>
        <v>0</v>
      </c>
      <c r="M54" s="156">
        <f t="shared" si="49"/>
        <v>0</v>
      </c>
      <c r="N54" s="156">
        <f t="shared" si="49"/>
        <v>0</v>
      </c>
      <c r="O54" s="156">
        <f t="shared" si="37"/>
        <v>1250.33727</v>
      </c>
      <c r="P54" s="156">
        <f t="shared" si="38"/>
        <v>628.61580599999991</v>
      </c>
      <c r="Q54" s="156">
        <f t="shared" si="39"/>
        <v>621.72146399999997</v>
      </c>
      <c r="R54" s="156">
        <f t="shared" si="40"/>
        <v>0</v>
      </c>
      <c r="S54" s="156">
        <f t="shared" si="41"/>
        <v>0</v>
      </c>
      <c r="T54" s="173" t="s">
        <v>407</v>
      </c>
      <c r="U54" s="175">
        <f>O54/'Production, Raw Mat'!$O$5</f>
        <v>7.3761034824932582E-3</v>
      </c>
      <c r="V54" s="132" t="s">
        <v>120</v>
      </c>
    </row>
    <row r="55" spans="1:22">
      <c r="A55" s="68" t="s">
        <v>338</v>
      </c>
      <c r="B55" s="68" t="s">
        <v>98</v>
      </c>
      <c r="C55" s="78">
        <f>C43+C49</f>
        <v>56954.835314199998</v>
      </c>
      <c r="D55" s="78">
        <f t="shared" ref="D55:S56" si="50">D43+D49</f>
        <v>45040.775367599992</v>
      </c>
      <c r="E55" s="78">
        <f t="shared" si="50"/>
        <v>112245.75648359998</v>
      </c>
      <c r="F55" s="78">
        <f>F43+F49</f>
        <v>100733.68382207998</v>
      </c>
      <c r="G55" s="78">
        <f t="shared" si="50"/>
        <v>96197.444088439981</v>
      </c>
      <c r="H55" s="78">
        <f t="shared" si="50"/>
        <v>0</v>
      </c>
      <c r="I55" s="78">
        <f t="shared" si="50"/>
        <v>0</v>
      </c>
      <c r="J55" s="78">
        <f t="shared" si="50"/>
        <v>0</v>
      </c>
      <c r="K55" s="78">
        <f t="shared" si="50"/>
        <v>0</v>
      </c>
      <c r="L55" s="78">
        <f t="shared" si="50"/>
        <v>0</v>
      </c>
      <c r="M55" s="78">
        <f t="shared" si="50"/>
        <v>0</v>
      </c>
      <c r="N55" s="78">
        <f t="shared" si="50"/>
        <v>0</v>
      </c>
      <c r="O55" s="78">
        <f t="shared" si="50"/>
        <v>411172.49507591996</v>
      </c>
      <c r="P55" s="78">
        <f t="shared" si="50"/>
        <v>214241.36716539998</v>
      </c>
      <c r="Q55" s="78">
        <f t="shared" si="50"/>
        <v>196931.12791051995</v>
      </c>
      <c r="R55" s="78">
        <f t="shared" si="50"/>
        <v>0</v>
      </c>
      <c r="S55" s="78">
        <f t="shared" si="50"/>
        <v>0</v>
      </c>
      <c r="T55" s="168"/>
    </row>
    <row r="56" spans="1:22">
      <c r="A56" s="68" t="s">
        <v>339</v>
      </c>
      <c r="B56" s="68" t="s">
        <v>98</v>
      </c>
      <c r="C56" s="78">
        <f>C44+C50</f>
        <v>0</v>
      </c>
      <c r="D56" s="78">
        <f>D44+D50</f>
        <v>0</v>
      </c>
      <c r="E56" s="78">
        <f t="shared" si="50"/>
        <v>0</v>
      </c>
      <c r="F56" s="78">
        <f t="shared" si="50"/>
        <v>0</v>
      </c>
      <c r="G56" s="78">
        <f t="shared" si="50"/>
        <v>0</v>
      </c>
      <c r="H56" s="78">
        <f t="shared" si="50"/>
        <v>0</v>
      </c>
      <c r="I56" s="78">
        <f t="shared" si="50"/>
        <v>0</v>
      </c>
      <c r="J56" s="78">
        <f>J44+J50</f>
        <v>0</v>
      </c>
      <c r="K56" s="78">
        <f t="shared" si="50"/>
        <v>0</v>
      </c>
      <c r="L56" s="78">
        <f t="shared" si="50"/>
        <v>0</v>
      </c>
      <c r="M56" s="78">
        <f t="shared" si="50"/>
        <v>0</v>
      </c>
      <c r="N56" s="78">
        <f t="shared" si="50"/>
        <v>0</v>
      </c>
      <c r="O56" s="78">
        <f t="shared" si="50"/>
        <v>0</v>
      </c>
      <c r="P56" s="78">
        <f t="shared" si="50"/>
        <v>0</v>
      </c>
      <c r="Q56" s="78">
        <f t="shared" si="50"/>
        <v>0</v>
      </c>
      <c r="R56" s="78">
        <f t="shared" si="50"/>
        <v>0</v>
      </c>
      <c r="S56" s="78">
        <f t="shared" si="50"/>
        <v>0</v>
      </c>
      <c r="T56" s="168"/>
    </row>
    <row r="57" spans="1:22" s="145" customFormat="1">
      <c r="A57" s="203" t="s">
        <v>369</v>
      </c>
      <c r="B57" s="203" t="s">
        <v>98</v>
      </c>
      <c r="C57" s="204">
        <f>C45+C51</f>
        <v>56954.835314199998</v>
      </c>
      <c r="D57" s="204">
        <f t="shared" ref="D57:S57" si="51">D45+D51</f>
        <v>45040.775367599992</v>
      </c>
      <c r="E57" s="204">
        <f t="shared" si="51"/>
        <v>112245.75648359998</v>
      </c>
      <c r="F57" s="204">
        <f>F45+F51</f>
        <v>100733.68382208</v>
      </c>
      <c r="G57" s="204">
        <f t="shared" si="51"/>
        <v>96197.444088439981</v>
      </c>
      <c r="H57" s="204">
        <f t="shared" si="51"/>
        <v>0</v>
      </c>
      <c r="I57" s="204">
        <f t="shared" si="51"/>
        <v>0</v>
      </c>
      <c r="J57" s="204">
        <f t="shared" si="51"/>
        <v>0</v>
      </c>
      <c r="K57" s="204">
        <f t="shared" si="51"/>
        <v>0</v>
      </c>
      <c r="L57" s="204">
        <f t="shared" si="51"/>
        <v>0</v>
      </c>
      <c r="M57" s="204">
        <f t="shared" si="51"/>
        <v>0</v>
      </c>
      <c r="N57" s="204">
        <f t="shared" si="51"/>
        <v>0</v>
      </c>
      <c r="O57" s="204">
        <f t="shared" si="51"/>
        <v>411172.49507591996</v>
      </c>
      <c r="P57" s="204">
        <f t="shared" si="51"/>
        <v>214241.36716539998</v>
      </c>
      <c r="Q57" s="204">
        <f t="shared" si="51"/>
        <v>196931.12791051998</v>
      </c>
      <c r="R57" s="204">
        <f t="shared" si="51"/>
        <v>0</v>
      </c>
      <c r="S57" s="204">
        <f t="shared" si="51"/>
        <v>0</v>
      </c>
      <c r="T57" s="168"/>
      <c r="U57" s="157"/>
    </row>
    <row r="58" spans="1:22">
      <c r="A58" s="68" t="s">
        <v>371</v>
      </c>
      <c r="B58" s="68" t="s">
        <v>98</v>
      </c>
      <c r="C58" s="78">
        <f t="shared" ref="C58:N59" si="52">C46+C49</f>
        <v>43634.450443332222</v>
      </c>
      <c r="D58" s="78">
        <f t="shared" si="52"/>
        <v>24478.739096251331</v>
      </c>
      <c r="E58" s="78">
        <f t="shared" si="52"/>
        <v>84955.730265252219</v>
      </c>
      <c r="F58" s="78">
        <f>F46+F49</f>
        <v>77068.432910687596</v>
      </c>
      <c r="G58" s="78">
        <f t="shared" si="52"/>
        <v>74996.181696607586</v>
      </c>
      <c r="H58" s="78">
        <f t="shared" si="52"/>
        <v>0</v>
      </c>
      <c r="I58" s="78">
        <f t="shared" si="52"/>
        <v>0</v>
      </c>
      <c r="J58" s="78">
        <f t="shared" si="52"/>
        <v>0</v>
      </c>
      <c r="K58" s="78">
        <f t="shared" si="52"/>
        <v>0</v>
      </c>
      <c r="L58" s="78">
        <f t="shared" si="52"/>
        <v>0</v>
      </c>
      <c r="M58" s="78">
        <f t="shared" si="52"/>
        <v>0</v>
      </c>
      <c r="N58" s="78">
        <f t="shared" si="52"/>
        <v>0</v>
      </c>
      <c r="O58" s="78">
        <f t="shared" ref="O58:S60" si="53">O49+O46</f>
        <v>305133.53441213095</v>
      </c>
      <c r="P58" s="78">
        <f t="shared" si="53"/>
        <v>153068.91980483578</v>
      </c>
      <c r="Q58" s="78">
        <f t="shared" si="53"/>
        <v>152064.6146072952</v>
      </c>
      <c r="R58" s="78">
        <f t="shared" si="53"/>
        <v>0</v>
      </c>
      <c r="S58" s="78">
        <f t="shared" si="53"/>
        <v>0</v>
      </c>
      <c r="T58" s="168"/>
    </row>
    <row r="59" spans="1:22">
      <c r="A59" s="68" t="s">
        <v>372</v>
      </c>
      <c r="B59" s="68" t="s">
        <v>98</v>
      </c>
      <c r="C59" s="78">
        <f>C47+C50</f>
        <v>0</v>
      </c>
      <c r="D59" s="78">
        <f t="shared" si="52"/>
        <v>0</v>
      </c>
      <c r="E59" s="78">
        <f t="shared" si="52"/>
        <v>0</v>
      </c>
      <c r="F59" s="78">
        <f t="shared" si="52"/>
        <v>0</v>
      </c>
      <c r="G59" s="78">
        <f t="shared" si="52"/>
        <v>0</v>
      </c>
      <c r="H59" s="78">
        <f t="shared" si="52"/>
        <v>0</v>
      </c>
      <c r="I59" s="78">
        <f t="shared" si="52"/>
        <v>0</v>
      </c>
      <c r="J59" s="78">
        <f t="shared" si="52"/>
        <v>0</v>
      </c>
      <c r="K59" s="78">
        <f t="shared" si="52"/>
        <v>0</v>
      </c>
      <c r="L59" s="78">
        <f t="shared" si="52"/>
        <v>0</v>
      </c>
      <c r="M59" s="78">
        <f t="shared" si="52"/>
        <v>0</v>
      </c>
      <c r="N59" s="78">
        <f t="shared" si="52"/>
        <v>0</v>
      </c>
      <c r="O59" s="78">
        <f t="shared" si="53"/>
        <v>0</v>
      </c>
      <c r="P59" s="78">
        <f t="shared" si="53"/>
        <v>0</v>
      </c>
      <c r="Q59" s="78">
        <f t="shared" si="53"/>
        <v>0</v>
      </c>
      <c r="R59" s="78">
        <f t="shared" si="53"/>
        <v>0</v>
      </c>
      <c r="S59" s="78">
        <f t="shared" si="53"/>
        <v>0</v>
      </c>
      <c r="T59" s="168"/>
    </row>
    <row r="60" spans="1:22">
      <c r="A60" s="124" t="s">
        <v>370</v>
      </c>
      <c r="B60" s="124" t="s">
        <v>98</v>
      </c>
      <c r="C60" s="156">
        <f>SUM(C58:C59)</f>
        <v>43634.450443332222</v>
      </c>
      <c r="D60" s="156">
        <f t="shared" ref="D60:N60" si="54">SUM(D58:D59)</f>
        <v>24478.739096251331</v>
      </c>
      <c r="E60" s="156">
        <f t="shared" si="54"/>
        <v>84955.730265252219</v>
      </c>
      <c r="F60" s="156">
        <f t="shared" si="54"/>
        <v>77068.432910687596</v>
      </c>
      <c r="G60" s="156">
        <f t="shared" si="54"/>
        <v>74996.181696607586</v>
      </c>
      <c r="H60" s="156">
        <f t="shared" si="54"/>
        <v>0</v>
      </c>
      <c r="I60" s="156">
        <f t="shared" si="54"/>
        <v>0</v>
      </c>
      <c r="J60" s="156">
        <f t="shared" si="54"/>
        <v>0</v>
      </c>
      <c r="K60" s="156">
        <f t="shared" si="54"/>
        <v>0</v>
      </c>
      <c r="L60" s="156">
        <f t="shared" si="54"/>
        <v>0</v>
      </c>
      <c r="M60" s="156">
        <f t="shared" si="54"/>
        <v>0</v>
      </c>
      <c r="N60" s="156">
        <f t="shared" si="54"/>
        <v>0</v>
      </c>
      <c r="O60" s="78">
        <f t="shared" si="53"/>
        <v>305133.53441213095</v>
      </c>
      <c r="P60" s="78">
        <f t="shared" si="53"/>
        <v>153068.91980483578</v>
      </c>
      <c r="Q60" s="78">
        <f t="shared" si="53"/>
        <v>152064.6146072952</v>
      </c>
      <c r="R60" s="78">
        <f t="shared" si="53"/>
        <v>0</v>
      </c>
      <c r="S60" s="78">
        <f t="shared" si="53"/>
        <v>0</v>
      </c>
      <c r="T60" s="168"/>
    </row>
    <row r="61" spans="1:22" s="157" customFormat="1" ht="12" customHeight="1">
      <c r="A61" s="146" t="s">
        <v>340</v>
      </c>
      <c r="B61" s="146" t="s">
        <v>120</v>
      </c>
      <c r="C61" s="133">
        <f>'Energy, GHG (2)'!C55/'Production, Raw Mat'!C3</f>
        <v>5.926664334447354</v>
      </c>
      <c r="D61" s="133">
        <f>'Energy, GHG (2)'!D55/'Production, Raw Mat'!D3</f>
        <v>7.1379077136189739</v>
      </c>
      <c r="E61" s="133">
        <f>'Energy, GHG (2)'!E55/'Production, Raw Mat'!E3</f>
        <v>6.329776373634818</v>
      </c>
      <c r="F61" s="133">
        <f>'Energy, GHG (2)'!F55/'Production, Raw Mat'!F3</f>
        <v>6.3773839679645592</v>
      </c>
      <c r="G61" s="133">
        <f>'Energy, GHG (2)'!G55/'Production, Raw Mat'!G3</f>
        <v>5.9780413305730926</v>
      </c>
      <c r="H61" s="133">
        <f>'Energy, GHG (2)'!H55/'Production, Raw Mat'!H3</f>
        <v>0</v>
      </c>
      <c r="I61" s="133">
        <f>'Energy, GHG (2)'!I55/'Production, Raw Mat'!I3</f>
        <v>0</v>
      </c>
      <c r="J61" s="133">
        <f>'Energy, GHG (2)'!J55/'Production, Raw Mat'!J3</f>
        <v>0</v>
      </c>
      <c r="K61" s="133">
        <f>'Energy, GHG (2)'!K55/'Production, Raw Mat'!K3</f>
        <v>0</v>
      </c>
      <c r="L61" s="133">
        <f>'Energy, GHG (2)'!L55/'Production, Raw Mat'!L3</f>
        <v>0</v>
      </c>
      <c r="M61" s="133">
        <f>'Energy, GHG (2)'!M55/'Production, Raw Mat'!M3</f>
        <v>0</v>
      </c>
      <c r="N61" s="133">
        <f>'Energy, GHG (2)'!N55/'Production, Raw Mat'!N3</f>
        <v>0</v>
      </c>
      <c r="O61" s="133">
        <f>'Energy, GHG (2)'!O55/'Production, Raw Mat'!O3</f>
        <v>2.4317038737121015</v>
      </c>
      <c r="P61" s="133">
        <f>'Energy, GHG (2)'!P55/'Production, Raw Mat'!P3</f>
        <v>6.3661920218644186</v>
      </c>
      <c r="Q61" s="133">
        <f>'Energy, GHG (2)'!Q55/'Production, Raw Mat'!Q3</f>
        <v>4.0776482659439139</v>
      </c>
      <c r="R61" s="133">
        <f>'Energy, GHG (2)'!R55/'Production, Raw Mat'!R3</f>
        <v>0</v>
      </c>
      <c r="S61" s="133">
        <f>'Energy, GHG (2)'!S55/'Production, Raw Mat'!S3</f>
        <v>0</v>
      </c>
      <c r="T61" s="169"/>
    </row>
    <row r="62" spans="1:22" s="157" customFormat="1" ht="12" customHeight="1">
      <c r="A62" s="146" t="s">
        <v>341</v>
      </c>
      <c r="B62" s="146" t="s">
        <v>120</v>
      </c>
      <c r="C62" s="133" t="e">
        <f>'Energy, GHG (2)'!C56/'Production, Raw Mat'!C4</f>
        <v>#DIV/0!</v>
      </c>
      <c r="D62" s="133" t="e">
        <f>'Energy, GHG (2)'!D56/'Production, Raw Mat'!D4</f>
        <v>#DIV/0!</v>
      </c>
      <c r="E62" s="133" t="e">
        <f>'Energy, GHG (2)'!E56/'Production, Raw Mat'!E4</f>
        <v>#DIV/0!</v>
      </c>
      <c r="F62" s="133" t="e">
        <f>'Energy, GHG (2)'!F56/'Production, Raw Mat'!F4</f>
        <v>#DIV/0!</v>
      </c>
      <c r="G62" s="133" t="e">
        <f>'Energy, GHG (2)'!G56/'Production, Raw Mat'!G4</f>
        <v>#DIV/0!</v>
      </c>
      <c r="H62" s="133" t="e">
        <f>'Energy, GHG (2)'!H56/'Production, Raw Mat'!H4</f>
        <v>#DIV/0!</v>
      </c>
      <c r="I62" s="133" t="e">
        <f>'Energy, GHG (2)'!I56/'Production, Raw Mat'!I4</f>
        <v>#DIV/0!</v>
      </c>
      <c r="J62" s="133" t="e">
        <f>'Energy, GHG (2)'!J56/'Production, Raw Mat'!J4</f>
        <v>#DIV/0!</v>
      </c>
      <c r="K62" s="133" t="e">
        <f>'Energy, GHG (2)'!K56/'Production, Raw Mat'!K4</f>
        <v>#DIV/0!</v>
      </c>
      <c r="L62" s="133" t="e">
        <f>'Energy, GHG (2)'!L56/'Production, Raw Mat'!L4</f>
        <v>#DIV/0!</v>
      </c>
      <c r="M62" s="133" t="e">
        <f>'Energy, GHG (2)'!M56/'Production, Raw Mat'!M4</f>
        <v>#DIV/0!</v>
      </c>
      <c r="N62" s="133">
        <f>'Energy, GHG (2)'!N56/'Production, Raw Mat'!N4</f>
        <v>0</v>
      </c>
      <c r="O62" s="133">
        <f>'Energy, GHG (2)'!O56/'Production, Raw Mat'!O4</f>
        <v>0</v>
      </c>
      <c r="P62" s="133" t="e">
        <f>'Energy, GHG (2)'!P56/'Production, Raw Mat'!P4</f>
        <v>#DIV/0!</v>
      </c>
      <c r="Q62" s="133" t="e">
        <f>'Energy, GHG (2)'!Q56/'Production, Raw Mat'!Q4</f>
        <v>#DIV/0!</v>
      </c>
      <c r="R62" s="133" t="e">
        <f>'Energy, GHG (2)'!R56/'Production, Raw Mat'!R4</f>
        <v>#DIV/0!</v>
      </c>
      <c r="S62" s="133">
        <f>'Energy, GHG (2)'!S56/'Production, Raw Mat'!S4</f>
        <v>0</v>
      </c>
      <c r="T62" s="169"/>
    </row>
    <row r="63" spans="1:22" s="145" customFormat="1" ht="12" customHeight="1">
      <c r="A63" s="203" t="s">
        <v>373</v>
      </c>
      <c r="B63" s="203" t="s">
        <v>120</v>
      </c>
      <c r="C63" s="205">
        <f>'Energy, GHG (2)'!C57/'Production, Raw Mat'!C5</f>
        <v>5.926664334447354</v>
      </c>
      <c r="D63" s="205">
        <f>'Energy, GHG (2)'!D57/'Production, Raw Mat'!D5</f>
        <v>7.1379077136189739</v>
      </c>
      <c r="E63" s="205">
        <f>'Energy, GHG (2)'!E57/'Production, Raw Mat'!E5</f>
        <v>6.329776373634818</v>
      </c>
      <c r="F63" s="205">
        <f>'Energy, GHG (2)'!F57/'Production, Raw Mat'!F5</f>
        <v>6.3773839679645601</v>
      </c>
      <c r="G63" s="205">
        <f>'Energy, GHG (2)'!G57/'Production, Raw Mat'!G5</f>
        <v>5.9780413305730926</v>
      </c>
      <c r="H63" s="205">
        <f>'Energy, GHG (2)'!H57/'Production, Raw Mat'!H5</f>
        <v>0</v>
      </c>
      <c r="I63" s="205">
        <f>'Energy, GHG (2)'!I57/'Production, Raw Mat'!I5</f>
        <v>0</v>
      </c>
      <c r="J63" s="205">
        <f>'Energy, GHG (2)'!J57/'Production, Raw Mat'!J5</f>
        <v>0</v>
      </c>
      <c r="K63" s="205">
        <f>'Energy, GHG (2)'!K57/'Production, Raw Mat'!K5</f>
        <v>0</v>
      </c>
      <c r="L63" s="205">
        <f>'Energy, GHG (2)'!L57/'Production, Raw Mat'!L5</f>
        <v>0</v>
      </c>
      <c r="M63" s="205">
        <f>'Energy, GHG (2)'!M57/'Production, Raw Mat'!M5</f>
        <v>0</v>
      </c>
      <c r="N63" s="205">
        <f>'Energy, GHG (2)'!N57/'Production, Raw Mat'!N5</f>
        <v>0</v>
      </c>
      <c r="O63" s="205">
        <f>'Energy, GHG (2)'!O57/'Production, Raw Mat'!O5</f>
        <v>2.4256262255022882</v>
      </c>
      <c r="P63" s="205">
        <f>'Energy, GHG (2)'!P57/'Production, Raw Mat'!P5</f>
        <v>6.3661920218644186</v>
      </c>
      <c r="Q63" s="205">
        <f>'Energy, GHG (2)'!Q57/'Production, Raw Mat'!Q5</f>
        <v>4.0776482659439148</v>
      </c>
      <c r="R63" s="205">
        <f>'Energy, GHG (2)'!R57/'Production, Raw Mat'!R5</f>
        <v>0</v>
      </c>
      <c r="S63" s="205">
        <f>'Energy, GHG (2)'!S57/'Production, Raw Mat'!S5</f>
        <v>0</v>
      </c>
      <c r="T63" s="169"/>
      <c r="U63" s="157"/>
    </row>
    <row r="64" spans="1:22" s="157" customFormat="1" ht="12" customHeight="1">
      <c r="A64" s="146" t="s">
        <v>374</v>
      </c>
      <c r="B64" s="146" t="s">
        <v>120</v>
      </c>
      <c r="C64" s="133">
        <f>'Energy, GHG (2)'!C58/'Production, Raw Mat'!C3</f>
        <v>4.5405581417111343</v>
      </c>
      <c r="D64" s="133">
        <f>'Energy, GHG (2)'!D58/'Production, Raw Mat'!D3</f>
        <v>3.8793066768670306</v>
      </c>
      <c r="E64" s="133">
        <f>'Energy, GHG (2)'!E58/'Production, Raw Mat'!E3</f>
        <v>4.7908338906019639</v>
      </c>
      <c r="F64" s="133">
        <f>'Energy, GHG (2)'!F58/'Production, Raw Mat'!F3</f>
        <v>4.879152333482315</v>
      </c>
      <c r="G64" s="133">
        <f>'Energy, GHG (2)'!G58/'Production, Raw Mat'!G3</f>
        <v>4.6605216808599712</v>
      </c>
      <c r="H64" s="133">
        <f>'Energy, GHG (2)'!H58/'Production, Raw Mat'!H3</f>
        <v>0</v>
      </c>
      <c r="I64" s="133">
        <f>'Energy, GHG (2)'!I58/'Production, Raw Mat'!I3</f>
        <v>0</v>
      </c>
      <c r="J64" s="133">
        <f>'Energy, GHG (2)'!J58/'Production, Raw Mat'!J3</f>
        <v>0</v>
      </c>
      <c r="K64" s="133">
        <f>'Energy, GHG (2)'!K58/'Production, Raw Mat'!K3</f>
        <v>0</v>
      </c>
      <c r="L64" s="133">
        <f>'Energy, GHG (2)'!L58/'Production, Raw Mat'!L3</f>
        <v>0</v>
      </c>
      <c r="M64" s="133">
        <f>'Energy, GHG (2)'!M58/'Production, Raw Mat'!M3</f>
        <v>0</v>
      </c>
      <c r="N64" s="133">
        <f>'Energy, GHG (2)'!N58/'Production, Raw Mat'!N3</f>
        <v>0</v>
      </c>
      <c r="O64" s="133">
        <f>'Energy, GHG (2)'!O58/'Production, Raw Mat'!O3</f>
        <v>1.8045817911347399</v>
      </c>
      <c r="P64" s="133">
        <f>'Energy, GHG (2)'!P58/'Production, Raw Mat'!P3</f>
        <v>4.5484499513328656</v>
      </c>
      <c r="Q64" s="133">
        <f>'Energy, GHG (2)'!Q58/'Production, Raw Mat'!Q3</f>
        <v>3.1486439886060453</v>
      </c>
      <c r="R64" s="133">
        <f>'Energy, GHG (2)'!R58/'Production, Raw Mat'!R3</f>
        <v>0</v>
      </c>
      <c r="S64" s="133">
        <f>'Energy, GHG (2)'!S58/'Production, Raw Mat'!S3</f>
        <v>0</v>
      </c>
      <c r="T64" s="169"/>
    </row>
    <row r="65" spans="1:21" s="157" customFormat="1" ht="12" customHeight="1">
      <c r="A65" s="146" t="s">
        <v>375</v>
      </c>
      <c r="B65" s="146" t="s">
        <v>120</v>
      </c>
      <c r="C65" s="133" t="e">
        <f>'Energy, GHG (2)'!C59/'Production, Raw Mat'!C4</f>
        <v>#DIV/0!</v>
      </c>
      <c r="D65" s="133" t="e">
        <f>'Energy, GHG (2)'!D59/'Production, Raw Mat'!D4</f>
        <v>#DIV/0!</v>
      </c>
      <c r="E65" s="133" t="e">
        <f>'Energy, GHG (2)'!E59/'Production, Raw Mat'!E4</f>
        <v>#DIV/0!</v>
      </c>
      <c r="F65" s="133" t="e">
        <f>'Energy, GHG (2)'!F59/'Production, Raw Mat'!F4</f>
        <v>#DIV/0!</v>
      </c>
      <c r="G65" s="133" t="e">
        <f>'Energy, GHG (2)'!G59/'Production, Raw Mat'!G4</f>
        <v>#DIV/0!</v>
      </c>
      <c r="H65" s="133" t="e">
        <f>'Energy, GHG (2)'!H59/'Production, Raw Mat'!H4</f>
        <v>#DIV/0!</v>
      </c>
      <c r="I65" s="133" t="e">
        <f>'Energy, GHG (2)'!I59/'Production, Raw Mat'!I4</f>
        <v>#DIV/0!</v>
      </c>
      <c r="J65" s="133" t="e">
        <f>'Energy, GHG (2)'!J59/'Production, Raw Mat'!J4</f>
        <v>#DIV/0!</v>
      </c>
      <c r="K65" s="133" t="e">
        <f>'Energy, GHG (2)'!K59/'Production, Raw Mat'!K4</f>
        <v>#DIV/0!</v>
      </c>
      <c r="L65" s="133" t="e">
        <f>'Energy, GHG (2)'!L59/'Production, Raw Mat'!L4</f>
        <v>#DIV/0!</v>
      </c>
      <c r="M65" s="133" t="e">
        <f>'Energy, GHG (2)'!M59/'Production, Raw Mat'!M4</f>
        <v>#DIV/0!</v>
      </c>
      <c r="N65" s="133">
        <f>'Energy, GHG (2)'!N59/'Production, Raw Mat'!N4</f>
        <v>0</v>
      </c>
      <c r="O65" s="133">
        <f>'Energy, GHG (2)'!O59/'Production, Raw Mat'!O4</f>
        <v>0</v>
      </c>
      <c r="P65" s="133" t="e">
        <f>'Energy, GHG (2)'!P59/'Production, Raw Mat'!P4</f>
        <v>#DIV/0!</v>
      </c>
      <c r="Q65" s="133" t="e">
        <f>'Energy, GHG (2)'!Q59/'Production, Raw Mat'!Q4</f>
        <v>#DIV/0!</v>
      </c>
      <c r="R65" s="133" t="e">
        <f>'Energy, GHG (2)'!R59/'Production, Raw Mat'!R4</f>
        <v>#DIV/0!</v>
      </c>
      <c r="S65" s="133">
        <f>'Energy, GHG (2)'!S59/'Production, Raw Mat'!S4</f>
        <v>0</v>
      </c>
      <c r="T65" s="169"/>
    </row>
    <row r="66" spans="1:21" s="145" customFormat="1" ht="12" customHeight="1">
      <c r="A66" s="124" t="s">
        <v>376</v>
      </c>
      <c r="B66" s="124" t="s">
        <v>120</v>
      </c>
      <c r="C66" s="129">
        <f>'Energy, GHG (2)'!C60/'Production, Raw Mat'!C5</f>
        <v>4.5405581417111343</v>
      </c>
      <c r="D66" s="129">
        <f>'Energy, GHG (2)'!D60/'Production, Raw Mat'!D5</f>
        <v>3.8793066768670306</v>
      </c>
      <c r="E66" s="129">
        <f>'Energy, GHG (2)'!E60/'Production, Raw Mat'!E5</f>
        <v>4.7908338906019639</v>
      </c>
      <c r="F66" s="129">
        <f>'Energy, GHG (2)'!F60/'Production, Raw Mat'!F5</f>
        <v>4.879152333482315</v>
      </c>
      <c r="G66" s="129">
        <f>'Energy, GHG (2)'!G60/'Production, Raw Mat'!G5</f>
        <v>4.6605216808599712</v>
      </c>
      <c r="H66" s="129">
        <f>'Energy, GHG (2)'!H60/'Production, Raw Mat'!H5</f>
        <v>0</v>
      </c>
      <c r="I66" s="129">
        <f>'Energy, GHG (2)'!I60/'Production, Raw Mat'!I5</f>
        <v>0</v>
      </c>
      <c r="J66" s="129">
        <f>'Energy, GHG (2)'!J60/'Production, Raw Mat'!J5</f>
        <v>0</v>
      </c>
      <c r="K66" s="129">
        <f>'Energy, GHG (2)'!K60/'Production, Raw Mat'!K5</f>
        <v>0</v>
      </c>
      <c r="L66" s="129">
        <f>'Energy, GHG (2)'!L60/'Production, Raw Mat'!L5</f>
        <v>0</v>
      </c>
      <c r="M66" s="129">
        <f>'Energy, GHG (2)'!M60/'Production, Raw Mat'!M5</f>
        <v>0</v>
      </c>
      <c r="N66" s="129">
        <f>'Energy, GHG (2)'!N60/'Production, Raw Mat'!N5</f>
        <v>0</v>
      </c>
      <c r="O66" s="129">
        <f>'Energy, GHG (2)'!O60/'Production, Raw Mat'!O5</f>
        <v>1.8000715325416121</v>
      </c>
      <c r="P66" s="129">
        <f>'Energy, GHG (2)'!P60/'Production, Raw Mat'!P5</f>
        <v>4.5484499513328656</v>
      </c>
      <c r="Q66" s="129">
        <f>'Energy, GHG (2)'!Q60/'Production, Raw Mat'!Q5</f>
        <v>3.1486439886060453</v>
      </c>
      <c r="R66" s="129">
        <f>'Energy, GHG (2)'!R60/'Production, Raw Mat'!R5</f>
        <v>0</v>
      </c>
      <c r="S66" s="129">
        <f>'Energy, GHG (2)'!S60/'Production, Raw Mat'!S5</f>
        <v>0</v>
      </c>
      <c r="T66" s="169"/>
      <c r="U66" s="157"/>
    </row>
    <row r="67" spans="1:21">
      <c r="A67" s="125"/>
      <c r="B67" s="125"/>
      <c r="C67" s="125">
        <f>C31+C69</f>
        <v>17330</v>
      </c>
      <c r="D67" s="125">
        <f t="shared" ref="D67" si="55">D31+D69</f>
        <v>17932</v>
      </c>
      <c r="E67" s="125">
        <f>E31+E69</f>
        <v>31613</v>
      </c>
      <c r="F67" s="125"/>
      <c r="G67" s="125"/>
      <c r="H67" s="125"/>
      <c r="I67" s="125"/>
      <c r="J67" s="125"/>
      <c r="K67" s="125"/>
      <c r="L67" s="125"/>
      <c r="M67" s="125"/>
      <c r="N67" s="125"/>
      <c r="O67" s="125"/>
      <c r="P67" s="125"/>
      <c r="Q67" s="125"/>
      <c r="R67" s="125"/>
      <c r="S67" s="125"/>
      <c r="T67" s="168"/>
      <c r="U67" s="168"/>
    </row>
    <row r="68" spans="1:21" s="142" customFormat="1">
      <c r="A68" s="126" t="s">
        <v>179</v>
      </c>
      <c r="B68" s="126" t="s">
        <v>73</v>
      </c>
      <c r="C68" s="126" t="s">
        <v>74</v>
      </c>
      <c r="D68" s="126" t="s">
        <v>75</v>
      </c>
      <c r="E68" s="126" t="s">
        <v>76</v>
      </c>
      <c r="F68" s="126" t="s">
        <v>77</v>
      </c>
      <c r="G68" s="126" t="s">
        <v>78</v>
      </c>
      <c r="H68" s="126" t="s">
        <v>79</v>
      </c>
      <c r="I68" s="126" t="s">
        <v>80</v>
      </c>
      <c r="J68" s="126" t="s">
        <v>81</v>
      </c>
      <c r="K68" s="126" t="s">
        <v>82</v>
      </c>
      <c r="L68" s="126" t="s">
        <v>83</v>
      </c>
      <c r="M68" s="126" t="s">
        <v>84</v>
      </c>
      <c r="N68" s="126" t="s">
        <v>85</v>
      </c>
      <c r="O68" s="117" t="s">
        <v>86</v>
      </c>
      <c r="P68" s="117" t="s">
        <v>87</v>
      </c>
      <c r="Q68" s="117" t="s">
        <v>88</v>
      </c>
      <c r="R68" s="117" t="s">
        <v>89</v>
      </c>
      <c r="S68" s="117" t="s">
        <v>90</v>
      </c>
      <c r="T68" s="170"/>
      <c r="U68" s="157"/>
    </row>
    <row r="69" spans="1:21">
      <c r="A69" s="80" t="s">
        <v>277</v>
      </c>
      <c r="B69" s="80" t="s">
        <v>103</v>
      </c>
      <c r="C69" s="121">
        <v>2000</v>
      </c>
      <c r="D69" s="80">
        <v>0</v>
      </c>
      <c r="E69" s="80">
        <v>5500</v>
      </c>
      <c r="F69" s="80">
        <v>2000</v>
      </c>
      <c r="G69" s="80">
        <v>0</v>
      </c>
      <c r="H69" s="80"/>
      <c r="I69" s="80"/>
      <c r="J69" s="80"/>
      <c r="K69" s="80"/>
      <c r="L69" s="121"/>
      <c r="M69" s="80"/>
      <c r="N69" s="80"/>
      <c r="O69" s="68">
        <f t="shared" ref="O69:O72" si="56">SUM(C69:N69)</f>
        <v>9500</v>
      </c>
      <c r="P69" s="68">
        <f t="shared" ref="P69:P72" si="57">SUM(C69:E69)</f>
        <v>7500</v>
      </c>
      <c r="Q69" s="68">
        <f t="shared" ref="Q69:Q72" si="58">SUM(F69:H69)</f>
        <v>2000</v>
      </c>
      <c r="R69" s="68">
        <f t="shared" ref="R69:R72" si="59">SUM(I69:K69)</f>
        <v>0</v>
      </c>
      <c r="S69" s="68">
        <f t="shared" ref="S69:S72" si="60">SUM(L69:N69)</f>
        <v>0</v>
      </c>
      <c r="T69" s="168"/>
      <c r="U69" s="168"/>
    </row>
    <row r="70" spans="1:21" hidden="1">
      <c r="A70" s="80" t="s">
        <v>257</v>
      </c>
      <c r="B70" s="80" t="s">
        <v>102</v>
      </c>
      <c r="C70" s="121"/>
      <c r="D70" s="80"/>
      <c r="E70" s="80"/>
      <c r="F70" s="80"/>
      <c r="G70" s="80"/>
      <c r="H70" s="80"/>
      <c r="I70" s="80"/>
      <c r="J70" s="80"/>
      <c r="K70" s="80"/>
      <c r="L70" s="80"/>
      <c r="M70" s="80"/>
      <c r="N70" s="80"/>
      <c r="O70" s="68">
        <f t="shared" si="56"/>
        <v>0</v>
      </c>
      <c r="P70" s="68">
        <f t="shared" si="57"/>
        <v>0</v>
      </c>
      <c r="Q70" s="68">
        <f t="shared" si="58"/>
        <v>0</v>
      </c>
      <c r="R70" s="68">
        <f t="shared" si="59"/>
        <v>0</v>
      </c>
      <c r="S70" s="68">
        <f t="shared" si="60"/>
        <v>0</v>
      </c>
      <c r="T70" s="168"/>
      <c r="U70" s="168"/>
    </row>
    <row r="71" spans="1:21">
      <c r="A71" s="80" t="s">
        <v>278</v>
      </c>
      <c r="B71" s="80" t="s">
        <v>102</v>
      </c>
      <c r="C71" s="121">
        <v>72</v>
      </c>
      <c r="D71" s="80">
        <f>9*12</f>
        <v>108</v>
      </c>
      <c r="E71" s="80">
        <v>12</v>
      </c>
      <c r="F71" s="80">
        <v>12</v>
      </c>
      <c r="G71" s="80">
        <v>24</v>
      </c>
      <c r="H71" s="80"/>
      <c r="I71" s="80"/>
      <c r="J71" s="80"/>
      <c r="K71" s="80"/>
      <c r="L71" s="80"/>
      <c r="M71" s="80"/>
      <c r="N71" s="80"/>
      <c r="O71" s="68">
        <f t="shared" si="56"/>
        <v>228</v>
      </c>
      <c r="P71" s="68">
        <f t="shared" si="57"/>
        <v>192</v>
      </c>
      <c r="Q71" s="68">
        <f t="shared" si="58"/>
        <v>36</v>
      </c>
      <c r="R71" s="68">
        <f t="shared" si="59"/>
        <v>0</v>
      </c>
      <c r="S71" s="68">
        <f t="shared" si="60"/>
        <v>0</v>
      </c>
      <c r="T71" s="168"/>
      <c r="U71" s="168"/>
    </row>
    <row r="72" spans="1:21" ht="14.25">
      <c r="A72" s="127" t="s">
        <v>258</v>
      </c>
      <c r="B72" s="127" t="s">
        <v>91</v>
      </c>
      <c r="C72" s="140">
        <v>1185.21</v>
      </c>
      <c r="D72" s="127">
        <f>'Production, Raw Mat'!D8</f>
        <v>903.63</v>
      </c>
      <c r="E72" s="127">
        <f>'Production, Raw Mat'!E8</f>
        <v>2451.7350000000001</v>
      </c>
      <c r="F72" s="128">
        <f>'Production, Raw Mat'!F8</f>
        <v>2133.4949999999999</v>
      </c>
      <c r="G72" s="127">
        <f>'Production, Raw Mat'!G8</f>
        <v>2066.2199999999998</v>
      </c>
      <c r="H72" s="127"/>
      <c r="I72" s="127"/>
      <c r="J72" s="127"/>
      <c r="K72" s="127"/>
      <c r="L72" s="127"/>
      <c r="M72" s="127"/>
      <c r="N72" s="127"/>
      <c r="O72" s="68">
        <f t="shared" si="56"/>
        <v>8740.2900000000009</v>
      </c>
      <c r="P72" s="68">
        <f t="shared" si="57"/>
        <v>4540.5750000000007</v>
      </c>
      <c r="Q72" s="68">
        <f t="shared" si="58"/>
        <v>4199.7150000000001</v>
      </c>
      <c r="R72" s="68">
        <f t="shared" si="59"/>
        <v>0</v>
      </c>
      <c r="S72" s="68">
        <f t="shared" si="60"/>
        <v>0</v>
      </c>
      <c r="T72" s="168"/>
      <c r="U72" s="168"/>
    </row>
    <row r="73" spans="1:21" s="143" customFormat="1" ht="14.25" hidden="1">
      <c r="A73" s="128" t="s">
        <v>194</v>
      </c>
      <c r="B73" s="128" t="s">
        <v>182</v>
      </c>
      <c r="C73" s="120"/>
      <c r="D73" s="128"/>
      <c r="E73" s="128"/>
      <c r="F73" s="128"/>
      <c r="G73" s="128"/>
      <c r="H73" s="128"/>
      <c r="I73" s="128"/>
      <c r="J73" s="128"/>
      <c r="K73" s="128"/>
      <c r="L73" s="128"/>
      <c r="M73" s="128"/>
      <c r="N73" s="128"/>
      <c r="O73" s="122"/>
      <c r="P73" s="122"/>
      <c r="Q73" s="122"/>
      <c r="R73" s="122"/>
      <c r="S73" s="122"/>
      <c r="T73" s="176"/>
      <c r="U73" s="177"/>
    </row>
    <row r="74" spans="1:21" s="143" customFormat="1" ht="36" hidden="1">
      <c r="A74" s="147" t="s">
        <v>325</v>
      </c>
      <c r="B74" s="128" t="s">
        <v>178</v>
      </c>
      <c r="C74" s="120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2"/>
      <c r="P74" s="122"/>
      <c r="Q74" s="122"/>
      <c r="R74" s="122"/>
      <c r="S74" s="122"/>
      <c r="T74" s="176"/>
      <c r="U74" s="177"/>
    </row>
    <row r="75" spans="1:21" s="143" customFormat="1" hidden="1">
      <c r="A75" s="128" t="s">
        <v>195</v>
      </c>
      <c r="B75" s="128" t="s">
        <v>178</v>
      </c>
      <c r="C75" s="120"/>
      <c r="D75" s="128"/>
      <c r="E75" s="128"/>
      <c r="F75" s="128"/>
      <c r="G75" s="128"/>
      <c r="H75" s="128"/>
      <c r="I75" s="128"/>
      <c r="J75" s="128"/>
      <c r="K75" s="128"/>
      <c r="L75" s="128"/>
      <c r="M75" s="128"/>
      <c r="N75" s="128"/>
      <c r="O75" s="122"/>
      <c r="P75" s="122"/>
      <c r="Q75" s="122"/>
      <c r="R75" s="122"/>
      <c r="S75" s="122"/>
      <c r="T75" s="176"/>
      <c r="U75" s="177"/>
    </row>
    <row r="76" spans="1:21" ht="13.5" hidden="1">
      <c r="A76" s="127" t="s">
        <v>196</v>
      </c>
      <c r="B76" s="127" t="s">
        <v>181</v>
      </c>
      <c r="C76" s="68">
        <f>((C73*31)*((C74-C75)/1000)*0.25*0.8)</f>
        <v>0</v>
      </c>
      <c r="D76" s="68">
        <f>((D73*28)*((D74-D75)/1000)*0.25*0.8)</f>
        <v>0</v>
      </c>
      <c r="E76" s="68">
        <f>((E73*31)*((E74-E75)/1000)*0.25*0.8)</f>
        <v>0</v>
      </c>
      <c r="F76" s="68">
        <f>((F73*30)*((F74-F75)/1000)*0.25*0.8)</f>
        <v>0</v>
      </c>
      <c r="G76" s="68">
        <f t="shared" ref="G76:N76" si="61">((G73*31)*((G74-G75)/1000)*0.25*0.8)</f>
        <v>0</v>
      </c>
      <c r="H76" s="68">
        <f>((H73*30)*((H74-H75)/1000)*0.25*0.8)</f>
        <v>0</v>
      </c>
      <c r="I76" s="68">
        <f t="shared" si="61"/>
        <v>0</v>
      </c>
      <c r="J76" s="68">
        <f>((J73*31)*((J74-J75)/1000)*0.25*0.8)</f>
        <v>0</v>
      </c>
      <c r="K76" s="68">
        <f>((K73*30)*((K74-K75)/1000)*0.25*0.8)</f>
        <v>0</v>
      </c>
      <c r="L76" s="68">
        <f t="shared" si="61"/>
        <v>0</v>
      </c>
      <c r="M76" s="68">
        <f>((M73*30)*((M74-M75)/1000)*0.25*0.8)</f>
        <v>0</v>
      </c>
      <c r="N76" s="68">
        <f t="shared" si="61"/>
        <v>0</v>
      </c>
      <c r="O76" s="123"/>
      <c r="P76" s="123"/>
      <c r="Q76" s="123"/>
      <c r="R76" s="123"/>
      <c r="S76" s="123"/>
      <c r="T76" s="176"/>
      <c r="U76" s="168"/>
    </row>
    <row r="77" spans="1:21">
      <c r="A77" s="159" t="s">
        <v>379</v>
      </c>
      <c r="B77" s="159" t="s">
        <v>342</v>
      </c>
      <c r="C77" s="131">
        <f t="shared" ref="C77:N77" si="62">IF(C23=0,0,((C3*C18*(4186/1000000)*$F$100)+(C4*C19*(4186/1000000)*$F$100)+(C5*C20*(4186/1000000)*$F$100)+(C38*$F$112*1000))/(C23))</f>
        <v>0.63226873229926195</v>
      </c>
      <c r="D77" s="131">
        <f t="shared" si="62"/>
        <v>0.92202383391665954</v>
      </c>
      <c r="E77" s="131">
        <f t="shared" si="62"/>
        <v>0.62344458228441646</v>
      </c>
      <c r="F77" s="131">
        <f t="shared" si="62"/>
        <v>0.6185050717804883</v>
      </c>
      <c r="G77" s="131">
        <f t="shared" si="62"/>
        <v>0.61825093559484556</v>
      </c>
      <c r="H77" s="131">
        <f t="shared" si="62"/>
        <v>0</v>
      </c>
      <c r="I77" s="131">
        <f t="shared" si="62"/>
        <v>0</v>
      </c>
      <c r="J77" s="131">
        <f t="shared" si="62"/>
        <v>0</v>
      </c>
      <c r="K77" s="131">
        <f t="shared" si="62"/>
        <v>0</v>
      </c>
      <c r="L77" s="131">
        <f t="shared" si="62"/>
        <v>0</v>
      </c>
      <c r="M77" s="131">
        <f t="shared" si="62"/>
        <v>0</v>
      </c>
      <c r="N77" s="131">
        <f t="shared" si="62"/>
        <v>0</v>
      </c>
      <c r="O77" s="131">
        <f>IF(O23=0,"0",(SUMPRODUCT(C23:N23,C77:N77)/O23))</f>
        <v>0.64489913955224099</v>
      </c>
      <c r="P77" s="131">
        <f>IF(P23=0,"0",(SUMPRODUCT(C23:E23,C77:E77)/P23))</f>
        <v>0.67140561438037394</v>
      </c>
      <c r="Q77" s="131">
        <f>IF(Q23=0,"0",(SUMPRODUCT(F23:H23,F77:H77)/Q23))</f>
        <v>0.61838043374748064</v>
      </c>
      <c r="R77" s="131" t="str">
        <f>IF(R23=0,"0",(SUMPRODUCT(I23:K23,I77:K77)/R23))</f>
        <v>0</v>
      </c>
      <c r="S77" s="131" t="str">
        <f>IF(S23=0,"0",(SUMPRODUCT(L23:N23,L77:N77)/S23))</f>
        <v>0</v>
      </c>
      <c r="T77" s="169"/>
      <c r="U77" s="168"/>
    </row>
    <row r="78" spans="1:21">
      <c r="A78" s="159" t="s">
        <v>380</v>
      </c>
      <c r="B78" s="159" t="s">
        <v>342</v>
      </c>
      <c r="C78" s="134">
        <f t="shared" ref="C78:N78" si="63">IF(C24=0,0,((C7*C18*(4186/1000000)*$F$100)+(C8*C19*(4186/1000000)*$F$100)+(C9*C20*(4186/1000000)*$F$100)+(C39*$F$112*1000))/(C24))</f>
        <v>0</v>
      </c>
      <c r="D78" s="134">
        <f t="shared" si="63"/>
        <v>0</v>
      </c>
      <c r="E78" s="134">
        <f t="shared" si="63"/>
        <v>0</v>
      </c>
      <c r="F78" s="134">
        <f t="shared" si="63"/>
        <v>0</v>
      </c>
      <c r="G78" s="134">
        <f t="shared" si="63"/>
        <v>0</v>
      </c>
      <c r="H78" s="134">
        <f t="shared" si="63"/>
        <v>0</v>
      </c>
      <c r="I78" s="134">
        <f t="shared" si="63"/>
        <v>0</v>
      </c>
      <c r="J78" s="134">
        <f t="shared" si="63"/>
        <v>0</v>
      </c>
      <c r="K78" s="134">
        <f t="shared" si="63"/>
        <v>0</v>
      </c>
      <c r="L78" s="134">
        <f t="shared" si="63"/>
        <v>0</v>
      </c>
      <c r="M78" s="134">
        <f t="shared" si="63"/>
        <v>0</v>
      </c>
      <c r="N78" s="134">
        <f t="shared" si="63"/>
        <v>0</v>
      </c>
      <c r="O78" s="131" t="str">
        <f>IF(O24=0,"0",(SUMPRODUCT(C24:N24,C78:N78)/O24))</f>
        <v>0</v>
      </c>
      <c r="P78" s="131" t="str">
        <f>IF(P24=0,"0",(SUMPRODUCT(C24:E24,C78:E78)/P24))</f>
        <v>0</v>
      </c>
      <c r="Q78" s="131" t="str">
        <f>IF(Q24=0,"0",(SUMPRODUCT(F24:H24,F78:H78)/Q24))</f>
        <v>0</v>
      </c>
      <c r="R78" s="131" t="str">
        <f>IF(R24=0,"0",(SUMPRODUCT(I24:K24,I78:K78)/R24))</f>
        <v>0</v>
      </c>
      <c r="S78" s="131" t="str">
        <f>IF(S24=0,"0",(SUMPRODUCT(L24:N24,L78:N78)/S24))</f>
        <v>0</v>
      </c>
      <c r="T78" s="169"/>
      <c r="U78" s="168"/>
    </row>
    <row r="79" spans="1:21">
      <c r="A79" s="156" t="s">
        <v>381</v>
      </c>
      <c r="B79" s="159" t="s">
        <v>342</v>
      </c>
      <c r="C79" s="131">
        <f t="shared" ref="C79:N79" si="64">IF(C25=0,0,((C11*C18*(4186/1000000)*$F$100)+(C12*C19*(4186/1000000)*$F$100)+(C13*C20*(4186/1000000)*$F$100)+(C40*$F$112*1000))/(C25))</f>
        <v>0.63226873229926195</v>
      </c>
      <c r="D79" s="131">
        <f t="shared" si="64"/>
        <v>0.92202383391665954</v>
      </c>
      <c r="E79" s="131">
        <f t="shared" si="64"/>
        <v>0.62344458228441646</v>
      </c>
      <c r="F79" s="131">
        <f t="shared" si="64"/>
        <v>0.6185050717804883</v>
      </c>
      <c r="G79" s="131">
        <f t="shared" si="64"/>
        <v>0.61825093559484556</v>
      </c>
      <c r="H79" s="131">
        <f t="shared" si="64"/>
        <v>0</v>
      </c>
      <c r="I79" s="131">
        <f t="shared" si="64"/>
        <v>0</v>
      </c>
      <c r="J79" s="131">
        <f t="shared" si="64"/>
        <v>0</v>
      </c>
      <c r="K79" s="131">
        <f t="shared" si="64"/>
        <v>0</v>
      </c>
      <c r="L79" s="131">
        <f t="shared" si="64"/>
        <v>0</v>
      </c>
      <c r="M79" s="131">
        <f t="shared" si="64"/>
        <v>0</v>
      </c>
      <c r="N79" s="131">
        <f t="shared" si="64"/>
        <v>0</v>
      </c>
      <c r="O79" s="131">
        <f>IF(O25=0,"0",(SUMPRODUCT(C25:N25,C79:N79)/O25))</f>
        <v>0.64489913955224099</v>
      </c>
      <c r="P79" s="131">
        <f>IF(P25=0,"0",(SUMPRODUCT(C25:E25,C79:E79)/P25))</f>
        <v>0.67140561438037394</v>
      </c>
      <c r="Q79" s="131">
        <f>IF(Q25=0,"0",(SUMPRODUCT(F25:H25,F79:H79)/Q25))</f>
        <v>0.61838043374748064</v>
      </c>
      <c r="R79" s="131" t="str">
        <f>IF(R25=0,"0",(SUMPRODUCT(I25:K25,I79:K79)/R25))</f>
        <v>0</v>
      </c>
      <c r="S79" s="131" t="str">
        <f>IF(S25=0,"0",(SUMPRODUCT(L25:N25,L79:N79)/S25))</f>
        <v>0</v>
      </c>
      <c r="T79" s="169"/>
      <c r="U79" s="168"/>
    </row>
    <row r="80" spans="1:21" ht="13.5">
      <c r="A80" s="146" t="s">
        <v>383</v>
      </c>
      <c r="B80" s="146" t="s">
        <v>306</v>
      </c>
      <c r="C80" s="68">
        <f>((C3*C18*(4186/1000000)*$F$100)+(C4*C19*(4186/1000000)*$F$100)+(C5*C20*(4186/1000000)*$F$100)+(C6*C21*(4186/1000000)*$F$100)+(C26*$F$101)+(C27*$F$102)+(C28*$F$103)+(C29*$F$104)+(C30*$F$106)+(C31*$F$107)+(C32*$F$109)+(C69*$F$108)+(C70*$F$115)+(C71*$F$104)+(C72*$F$116)+(C76*$F$117))/1000</f>
        <v>5672.1190008294589</v>
      </c>
      <c r="D80" s="68">
        <f t="shared" ref="D80:S80" si="65">((D3*D18*(4186/1000000)*$F$100)+(D4*D19*(4186/1000000)*$F$100)+(D5*D20*(4186/1000000)*$F$100)+(D6*D21*(4186/1000000)*$F$100)+(D26*$F$101)+(D27*$F$102)+(D28*$F$103)+(D29*$F$104)+(D30*$F$106)+(D31*$F$107)+(D32*$F$109)+(D69*$F$108)+(D70*$F$115)+(D71*$F$104)+(D72*$F$116)+(D76*$F$117))/1000</f>
        <v>4473.4415424774788</v>
      </c>
      <c r="E80" s="68">
        <f t="shared" si="65"/>
        <v>11313.604392842079</v>
      </c>
      <c r="F80" s="68">
        <f t="shared" si="65"/>
        <v>10094.46018523406</v>
      </c>
      <c r="G80" s="68">
        <f t="shared" si="65"/>
        <v>9567.6310741128509</v>
      </c>
      <c r="H80" s="68">
        <f t="shared" si="65"/>
        <v>0</v>
      </c>
      <c r="I80" s="68">
        <f t="shared" si="65"/>
        <v>0</v>
      </c>
      <c r="J80" s="68">
        <f t="shared" si="65"/>
        <v>0</v>
      </c>
      <c r="K80" s="68">
        <f t="shared" si="65"/>
        <v>0</v>
      </c>
      <c r="L80" s="68">
        <f t="shared" si="65"/>
        <v>0</v>
      </c>
      <c r="M80" s="68">
        <f t="shared" si="65"/>
        <v>0</v>
      </c>
      <c r="N80" s="68">
        <f t="shared" si="65"/>
        <v>0</v>
      </c>
      <c r="O80" s="68">
        <f t="shared" si="65"/>
        <v>4168.2816043000003</v>
      </c>
      <c r="P80" s="68">
        <f t="shared" si="65"/>
        <v>21459.164936149016</v>
      </c>
      <c r="Q80" s="68">
        <f t="shared" si="65"/>
        <v>19662.091259346911</v>
      </c>
      <c r="R80" s="68">
        <f t="shared" si="65"/>
        <v>0</v>
      </c>
      <c r="S80" s="68">
        <f t="shared" si="65"/>
        <v>0</v>
      </c>
      <c r="T80" s="168"/>
    </row>
    <row r="81" spans="1:21" ht="13.5">
      <c r="A81" s="146" t="s">
        <v>384</v>
      </c>
      <c r="B81" s="146" t="s">
        <v>306</v>
      </c>
      <c r="C81" s="68">
        <f>(((C7*C18*(4186/1000000)*$F$100))+((C8*C19*(4186/1000000)*$F$100))+((C9*C20*(4186/1000000))+((C10*C21*(4186/1000000)*$F$100)))/1000)</f>
        <v>0</v>
      </c>
      <c r="D81" s="68">
        <f t="shared" ref="D81:S81" si="66">(((D7*D18*(4186/1000000)*$F$100)+(D8*D19*(4186/1000000)*$F$100)+(D9*D20*(4186/1000000)+(D10*D21*(4186/1000000)*$F$100)))/1000)</f>
        <v>0</v>
      </c>
      <c r="E81" s="68">
        <f t="shared" si="66"/>
        <v>0</v>
      </c>
      <c r="F81" s="68">
        <f t="shared" si="66"/>
        <v>0</v>
      </c>
      <c r="G81" s="68">
        <f t="shared" si="66"/>
        <v>0</v>
      </c>
      <c r="H81" s="68">
        <f t="shared" si="66"/>
        <v>0</v>
      </c>
      <c r="I81" s="68">
        <f t="shared" si="66"/>
        <v>0</v>
      </c>
      <c r="J81" s="68">
        <f t="shared" si="66"/>
        <v>0</v>
      </c>
      <c r="K81" s="68">
        <f t="shared" si="66"/>
        <v>0</v>
      </c>
      <c r="L81" s="68">
        <f t="shared" si="66"/>
        <v>0</v>
      </c>
      <c r="M81" s="68">
        <f t="shared" si="66"/>
        <v>0</v>
      </c>
      <c r="N81" s="68">
        <f t="shared" si="66"/>
        <v>0</v>
      </c>
      <c r="O81" s="68">
        <f>(((O7*O18*(4186/1000000)*$F$100)+(O8*O19*(4186/1000000)*$F$100)+(O9*O20*(4186/1000000)+(O10*O21*(4186/1000000)*$F$100)))/1000)</f>
        <v>0</v>
      </c>
      <c r="P81" s="68">
        <f t="shared" si="66"/>
        <v>0</v>
      </c>
      <c r="Q81" s="68">
        <f t="shared" si="66"/>
        <v>0</v>
      </c>
      <c r="R81" s="68">
        <f t="shared" si="66"/>
        <v>0</v>
      </c>
      <c r="S81" s="68">
        <f t="shared" si="66"/>
        <v>0</v>
      </c>
      <c r="T81" s="168"/>
    </row>
    <row r="82" spans="1:21" s="145" customFormat="1" ht="13.5">
      <c r="A82" s="202" t="s">
        <v>382</v>
      </c>
      <c r="B82" s="203" t="s">
        <v>377</v>
      </c>
      <c r="C82" s="203">
        <f>SUM(C80:C81)</f>
        <v>5672.1190008294589</v>
      </c>
      <c r="D82" s="203">
        <f t="shared" ref="D82:N82" si="67">SUM(D80:D81)</f>
        <v>4473.4415424774788</v>
      </c>
      <c r="E82" s="203">
        <f t="shared" si="67"/>
        <v>11313.604392842079</v>
      </c>
      <c r="F82" s="203">
        <f t="shared" si="67"/>
        <v>10094.46018523406</v>
      </c>
      <c r="G82" s="203">
        <f t="shared" si="67"/>
        <v>9567.6310741128509</v>
      </c>
      <c r="H82" s="203">
        <f t="shared" si="67"/>
        <v>0</v>
      </c>
      <c r="I82" s="203">
        <f t="shared" si="67"/>
        <v>0</v>
      </c>
      <c r="J82" s="203">
        <f>SUM(J80:J81)</f>
        <v>0</v>
      </c>
      <c r="K82" s="203">
        <f t="shared" si="67"/>
        <v>0</v>
      </c>
      <c r="L82" s="203">
        <f t="shared" si="67"/>
        <v>0</v>
      </c>
      <c r="M82" s="203">
        <f t="shared" si="67"/>
        <v>0</v>
      </c>
      <c r="N82" s="203">
        <f t="shared" si="67"/>
        <v>0</v>
      </c>
      <c r="O82" s="203">
        <f t="shared" ref="O82:O85" si="68">SUM(C82:N82)</f>
        <v>41121.256195495924</v>
      </c>
      <c r="P82" s="203">
        <f t="shared" ref="P82:P84" si="69">SUM(C82:E82)</f>
        <v>21459.164936149016</v>
      </c>
      <c r="Q82" s="203">
        <f t="shared" ref="Q82:Q85" si="70">SUM(F82:H82)</f>
        <v>19662.091259346911</v>
      </c>
      <c r="R82" s="203">
        <f t="shared" ref="R82:R85" si="71">SUM(I82:K82)</f>
        <v>0</v>
      </c>
      <c r="S82" s="203">
        <f t="shared" ref="S82:S85" si="72">SUM(L82:N82)</f>
        <v>0</v>
      </c>
      <c r="T82" s="168"/>
      <c r="U82" s="157"/>
    </row>
    <row r="83" spans="1:21" ht="13.5">
      <c r="A83" s="146" t="s">
        <v>385</v>
      </c>
      <c r="B83" s="146" t="s">
        <v>306</v>
      </c>
      <c r="C83" s="68">
        <f>((C23*C77)+(C26*$F$101)+(C27*$F$102)+(C28*$F$103)+(C29*$F$104)+(C30*$F$106)+(C31*$F$107)+(C32*$F$109)+(C69*$F$108)+(C70*$F$115)+(C71*$F$104)+(C72*$F$116)+(C76*$F$117))/1000</f>
        <v>6403.2533944974584</v>
      </c>
      <c r="D83" s="68">
        <f t="shared" ref="D83:N83" si="73">((D23*D77)+(D26*$F$101)+(D27*$F$102)+(D28*$F$103)+(D29*$F$104)+(D30*$F$106)+(D31*$F$107)+(D32*$F$109)+(D69*$F$108)+(D70*$F$115)+(D71*$F$104)+(D72*$F$116)+(D76*$F$117))/1000</f>
        <v>4992.343535933479</v>
      </c>
      <c r="E83" s="68">
        <f>((E23*E77)+(E26*$F$101)+(E27*$F$102)+(E28*$F$103)+(E29*$F$104)+(E30*$F$106)+(E31*$F$107)+(E32*$F$109)+(E69*$F$108)+(E70*$F$115)+(E71*$F$104)+(E72*$F$116)+(E76*$F$117))/1000</f>
        <v>12531.760218108237</v>
      </c>
      <c r="F83" s="68">
        <f t="shared" si="73"/>
        <v>11210.961888613072</v>
      </c>
      <c r="G83" s="68">
        <f>((G23*G77)+(G26*$F$101)+(G27*$F$102)+(G28*$F$103)+(G29*$F$104)+(G30*$F$106)+(G31*$F$107)+(G32*$F$109)+(G69*$F$108)+(G70*$F$115)+(G71*$F$104)+(G72*$F$116)+(G76*$F$117))/1000</f>
        <v>10800.78068881093</v>
      </c>
      <c r="H83" s="68">
        <f t="shared" si="73"/>
        <v>0</v>
      </c>
      <c r="I83" s="68">
        <f t="shared" si="73"/>
        <v>0</v>
      </c>
      <c r="J83" s="68">
        <f t="shared" si="73"/>
        <v>0</v>
      </c>
      <c r="K83" s="68">
        <f t="shared" si="73"/>
        <v>0</v>
      </c>
      <c r="L83" s="68">
        <f t="shared" si="73"/>
        <v>0</v>
      </c>
      <c r="M83" s="68">
        <f t="shared" si="73"/>
        <v>0</v>
      </c>
      <c r="N83" s="68">
        <f t="shared" si="73"/>
        <v>0</v>
      </c>
      <c r="O83" s="68">
        <f t="shared" si="68"/>
        <v>45939.099725963169</v>
      </c>
      <c r="P83" s="68">
        <f t="shared" si="69"/>
        <v>23927.357148539173</v>
      </c>
      <c r="Q83" s="68">
        <f t="shared" si="70"/>
        <v>22011.742577424004</v>
      </c>
      <c r="R83" s="68">
        <f t="shared" si="71"/>
        <v>0</v>
      </c>
      <c r="S83" s="68">
        <f t="shared" si="72"/>
        <v>0</v>
      </c>
      <c r="T83" s="168"/>
    </row>
    <row r="84" spans="1:21" ht="13.5">
      <c r="A84" s="146" t="s">
        <v>386</v>
      </c>
      <c r="B84" s="146" t="s">
        <v>306</v>
      </c>
      <c r="C84" s="68">
        <f>(C24*C78)</f>
        <v>0</v>
      </c>
      <c r="D84" s="68">
        <f t="shared" ref="D84:N84" si="74">(D24*D78)</f>
        <v>0</v>
      </c>
      <c r="E84" s="68">
        <f t="shared" si="74"/>
        <v>0</v>
      </c>
      <c r="F84" s="68">
        <f t="shared" si="74"/>
        <v>0</v>
      </c>
      <c r="G84" s="68">
        <f t="shared" si="74"/>
        <v>0</v>
      </c>
      <c r="H84" s="68">
        <f t="shared" si="74"/>
        <v>0</v>
      </c>
      <c r="I84" s="68">
        <f t="shared" si="74"/>
        <v>0</v>
      </c>
      <c r="J84" s="68">
        <f t="shared" si="74"/>
        <v>0</v>
      </c>
      <c r="K84" s="68">
        <f t="shared" si="74"/>
        <v>0</v>
      </c>
      <c r="L84" s="68">
        <f t="shared" si="74"/>
        <v>0</v>
      </c>
      <c r="M84" s="68">
        <f t="shared" si="74"/>
        <v>0</v>
      </c>
      <c r="N84" s="68">
        <f t="shared" si="74"/>
        <v>0</v>
      </c>
      <c r="O84" s="68">
        <f t="shared" si="68"/>
        <v>0</v>
      </c>
      <c r="P84" s="68">
        <f t="shared" si="69"/>
        <v>0</v>
      </c>
      <c r="Q84" s="68">
        <f t="shared" si="70"/>
        <v>0</v>
      </c>
      <c r="R84" s="68">
        <f t="shared" si="71"/>
        <v>0</v>
      </c>
      <c r="S84" s="68">
        <f t="shared" si="72"/>
        <v>0</v>
      </c>
      <c r="T84" s="168"/>
    </row>
    <row r="85" spans="1:21" s="145" customFormat="1" ht="13.5">
      <c r="A85" s="153" t="s">
        <v>387</v>
      </c>
      <c r="B85" s="124" t="s">
        <v>377</v>
      </c>
      <c r="C85" s="124">
        <f>SUM(C83:C84)</f>
        <v>6403.2533944974584</v>
      </c>
      <c r="D85" s="124">
        <f t="shared" ref="D85:N85" si="75">SUM(D83:D84)</f>
        <v>4992.343535933479</v>
      </c>
      <c r="E85" s="124">
        <f t="shared" si="75"/>
        <v>12531.760218108237</v>
      </c>
      <c r="F85" s="124">
        <f t="shared" si="75"/>
        <v>11210.961888613072</v>
      </c>
      <c r="G85" s="124">
        <f t="shared" si="75"/>
        <v>10800.78068881093</v>
      </c>
      <c r="H85" s="124">
        <f t="shared" si="75"/>
        <v>0</v>
      </c>
      <c r="I85" s="124">
        <f t="shared" si="75"/>
        <v>0</v>
      </c>
      <c r="J85" s="124">
        <f t="shared" si="75"/>
        <v>0</v>
      </c>
      <c r="K85" s="124">
        <f t="shared" si="75"/>
        <v>0</v>
      </c>
      <c r="L85" s="124">
        <f t="shared" si="75"/>
        <v>0</v>
      </c>
      <c r="M85" s="124">
        <f t="shared" si="75"/>
        <v>0</v>
      </c>
      <c r="N85" s="124">
        <f t="shared" si="75"/>
        <v>0</v>
      </c>
      <c r="O85" s="124">
        <f t="shared" si="68"/>
        <v>45939.099725963169</v>
      </c>
      <c r="P85" s="124">
        <f>SUM(C85:E85)</f>
        <v>23927.357148539173</v>
      </c>
      <c r="Q85" s="124">
        <f t="shared" si="70"/>
        <v>22011.742577424004</v>
      </c>
      <c r="R85" s="124">
        <f t="shared" si="71"/>
        <v>0</v>
      </c>
      <c r="S85" s="124">
        <f t="shared" si="72"/>
        <v>0</v>
      </c>
      <c r="T85" s="168"/>
      <c r="U85" s="157"/>
    </row>
    <row r="86" spans="1:21" ht="13.5">
      <c r="A86" s="130" t="s">
        <v>388</v>
      </c>
      <c r="B86" s="146" t="s">
        <v>306</v>
      </c>
      <c r="C86" s="68">
        <f>(C33*$F$110)+(C38*$F$112)+(C41*$F$113)</f>
        <v>1050.5857269599999</v>
      </c>
      <c r="D86" s="68">
        <f t="shared" ref="D86:N86" si="76">(D33*$F$110)+(D38*$F$112)+(D41*$F$113)</f>
        <v>765.49600511999915</v>
      </c>
      <c r="E86" s="68">
        <f t="shared" si="76"/>
        <v>1796.3599363199999</v>
      </c>
      <c r="F86" s="68">
        <f t="shared" si="76"/>
        <v>1702.7369330400002</v>
      </c>
      <c r="G86" s="68">
        <f t="shared" si="76"/>
        <v>1806.7581100799998</v>
      </c>
      <c r="H86" s="68">
        <f t="shared" si="76"/>
        <v>0</v>
      </c>
      <c r="I86" s="68">
        <f t="shared" si="76"/>
        <v>0</v>
      </c>
      <c r="J86" s="68">
        <f t="shared" si="76"/>
        <v>0</v>
      </c>
      <c r="K86" s="68">
        <f t="shared" si="76"/>
        <v>0</v>
      </c>
      <c r="L86" s="68">
        <f t="shared" si="76"/>
        <v>0</v>
      </c>
      <c r="M86" s="68">
        <f t="shared" si="76"/>
        <v>0</v>
      </c>
      <c r="N86" s="68">
        <f t="shared" si="76"/>
        <v>0</v>
      </c>
      <c r="O86" s="78">
        <f>SUM(C86:N86)</f>
        <v>7121.9367115199984</v>
      </c>
      <c r="P86" s="78">
        <f>SUM(C86:E86)</f>
        <v>3612.4416683999989</v>
      </c>
      <c r="Q86" s="78">
        <f>SUM(F86:H86)</f>
        <v>3509.49504312</v>
      </c>
      <c r="R86" s="78">
        <f>SUM(I86:K86)</f>
        <v>0</v>
      </c>
      <c r="S86" s="78">
        <f>SUM(L86:N86)</f>
        <v>0</v>
      </c>
      <c r="T86" s="168"/>
    </row>
    <row r="87" spans="1:21" ht="13.5">
      <c r="A87" s="130" t="s">
        <v>389</v>
      </c>
      <c r="B87" s="146" t="s">
        <v>306</v>
      </c>
      <c r="C87" s="68">
        <f>(C39*$F$112)</f>
        <v>0</v>
      </c>
      <c r="D87" s="68">
        <f t="shared" ref="D87:N87" si="77">(D39*$F$112)</f>
        <v>0</v>
      </c>
      <c r="E87" s="68">
        <f t="shared" si="77"/>
        <v>0</v>
      </c>
      <c r="F87" s="68">
        <f t="shared" si="77"/>
        <v>0</v>
      </c>
      <c r="G87" s="68">
        <f t="shared" si="77"/>
        <v>0</v>
      </c>
      <c r="H87" s="68">
        <f t="shared" si="77"/>
        <v>0</v>
      </c>
      <c r="I87" s="68">
        <f t="shared" si="77"/>
        <v>0</v>
      </c>
      <c r="J87" s="68">
        <f t="shared" si="77"/>
        <v>0</v>
      </c>
      <c r="K87" s="68">
        <f t="shared" si="77"/>
        <v>0</v>
      </c>
      <c r="L87" s="68">
        <f t="shared" si="77"/>
        <v>0</v>
      </c>
      <c r="M87" s="68">
        <f t="shared" si="77"/>
        <v>0</v>
      </c>
      <c r="N87" s="68">
        <f t="shared" si="77"/>
        <v>0</v>
      </c>
      <c r="O87" s="78">
        <f t="shared" ref="O87:O88" si="78">SUM(C87:N87)</f>
        <v>0</v>
      </c>
      <c r="P87" s="78">
        <f t="shared" ref="P87:P88" si="79">SUM(C87:E87)</f>
        <v>0</v>
      </c>
      <c r="Q87" s="78">
        <f t="shared" ref="Q87:Q88" si="80">SUM(F87:H87)</f>
        <v>0</v>
      </c>
      <c r="R87" s="78">
        <f t="shared" ref="R87:R88" si="81">SUM(I87:K87)</f>
        <v>0</v>
      </c>
      <c r="S87" s="78">
        <f t="shared" ref="S87:S88" si="82">SUM(L87:N87)</f>
        <v>0</v>
      </c>
      <c r="T87" s="168"/>
    </row>
    <row r="88" spans="1:21" s="145" customFormat="1" ht="13.5">
      <c r="A88" s="202" t="s">
        <v>390</v>
      </c>
      <c r="B88" s="203" t="s">
        <v>377</v>
      </c>
      <c r="C88" s="203">
        <f>SUM(C86:C87)</f>
        <v>1050.5857269599999</v>
      </c>
      <c r="D88" s="203">
        <f t="shared" ref="D88:N88" si="83">SUM(D86:D87)</f>
        <v>765.49600511999915</v>
      </c>
      <c r="E88" s="203">
        <f t="shared" si="83"/>
        <v>1796.3599363199999</v>
      </c>
      <c r="F88" s="203">
        <f t="shared" si="83"/>
        <v>1702.7369330400002</v>
      </c>
      <c r="G88" s="203">
        <f t="shared" si="83"/>
        <v>1806.7581100799998</v>
      </c>
      <c r="H88" s="203">
        <f t="shared" si="83"/>
        <v>0</v>
      </c>
      <c r="I88" s="203">
        <f t="shared" si="83"/>
        <v>0</v>
      </c>
      <c r="J88" s="203">
        <f t="shared" si="83"/>
        <v>0</v>
      </c>
      <c r="K88" s="203">
        <f t="shared" si="83"/>
        <v>0</v>
      </c>
      <c r="L88" s="203">
        <f t="shared" si="83"/>
        <v>0</v>
      </c>
      <c r="M88" s="203">
        <f t="shared" si="83"/>
        <v>0</v>
      </c>
      <c r="N88" s="203">
        <f t="shared" si="83"/>
        <v>0</v>
      </c>
      <c r="O88" s="204">
        <f t="shared" si="78"/>
        <v>7121.9367115199984</v>
      </c>
      <c r="P88" s="204">
        <f t="shared" si="79"/>
        <v>3612.4416683999989</v>
      </c>
      <c r="Q88" s="204">
        <f t="shared" si="80"/>
        <v>3509.49504312</v>
      </c>
      <c r="R88" s="204">
        <f t="shared" si="81"/>
        <v>0</v>
      </c>
      <c r="S88" s="204">
        <f t="shared" si="82"/>
        <v>0</v>
      </c>
      <c r="T88" s="168"/>
      <c r="U88" s="157"/>
    </row>
    <row r="89" spans="1:21" s="145" customFormat="1" ht="12.75">
      <c r="A89" s="155" t="s">
        <v>397</v>
      </c>
      <c r="B89" s="160" t="s">
        <v>378</v>
      </c>
      <c r="C89" s="146">
        <f>'Energy, GHG (2)'!C80*1000/'Production, Raw Mat'!C$3</f>
        <v>590.23514329389661</v>
      </c>
      <c r="D89" s="146">
        <f>'Energy, GHG (2)'!D80*1000/'Production, Raw Mat'!D$3</f>
        <v>708.93568398565094</v>
      </c>
      <c r="E89" s="146">
        <f>'Energy, GHG (2)'!E80*1000/'Production, Raw Mat'!E$3</f>
        <v>637.99815716798219</v>
      </c>
      <c r="F89" s="146">
        <f>'Energy, GHG (2)'!F80*1000/'Production, Raw Mat'!F$3</f>
        <v>639.07370512004957</v>
      </c>
      <c r="G89" s="146">
        <f>'Energy, GHG (2)'!G80*1000/'Production, Raw Mat'!G$3</f>
        <v>594.56563049781948</v>
      </c>
      <c r="H89" s="146">
        <f>'Energy, GHG (2)'!H80*1000/'Production, Raw Mat'!H$3</f>
        <v>0</v>
      </c>
      <c r="I89" s="146">
        <f>'Energy, GHG (2)'!I80*1000/'Production, Raw Mat'!I$3</f>
        <v>0</v>
      </c>
      <c r="J89" s="146">
        <f>'Energy, GHG (2)'!J80*1000/'Production, Raw Mat'!J$3</f>
        <v>0</v>
      </c>
      <c r="K89" s="146">
        <f>'Energy, GHG (2)'!K80*1000/'Production, Raw Mat'!K$3</f>
        <v>0</v>
      </c>
      <c r="L89" s="146">
        <f>'Energy, GHG (2)'!L80*1000/'Production, Raw Mat'!L$3</f>
        <v>0</v>
      </c>
      <c r="M89" s="146">
        <f>'Energy, GHG (2)'!M80*1000/'Production, Raw Mat'!M$3</f>
        <v>0</v>
      </c>
      <c r="N89" s="146">
        <f>'Energy, GHG (2)'!N80*1000/'Production, Raw Mat'!N$3</f>
        <v>0</v>
      </c>
      <c r="O89" s="146">
        <f>'Energy, GHG (2)'!O80*1000/'Production, Raw Mat'!O$3</f>
        <v>24.65151887659135</v>
      </c>
      <c r="P89" s="146">
        <f>'Energy, GHG (2)'!P80*1000/'Production, Raw Mat'!P$3</f>
        <v>637.66006733384768</v>
      </c>
      <c r="Q89" s="146">
        <f>'Energy, GHG (2)'!Q80*1000/'Production, Raw Mat'!Q$3</f>
        <v>407.12249596689588</v>
      </c>
      <c r="R89" s="146">
        <f>'Energy, GHG (2)'!R80*1000/'Production, Raw Mat'!R$3</f>
        <v>0</v>
      </c>
      <c r="S89" s="146">
        <f>'Energy, GHG (2)'!S80*1000/'Production, Raw Mat'!S$3</f>
        <v>0</v>
      </c>
      <c r="T89" s="168"/>
      <c r="U89" s="157"/>
    </row>
    <row r="90" spans="1:21" s="145" customFormat="1" ht="12.75">
      <c r="A90" s="155" t="s">
        <v>391</v>
      </c>
      <c r="B90" s="160" t="s">
        <v>378</v>
      </c>
      <c r="C90" s="146" t="e">
        <f>'Energy, GHG (2)'!C81*1000/'Production, Raw Mat'!C$4</f>
        <v>#DIV/0!</v>
      </c>
      <c r="D90" s="146" t="e">
        <f>'Energy, GHG (2)'!D81*1000/'Production, Raw Mat'!D$4</f>
        <v>#DIV/0!</v>
      </c>
      <c r="E90" s="146" t="e">
        <f>'Energy, GHG (2)'!E81*1000/'Production, Raw Mat'!E$4</f>
        <v>#DIV/0!</v>
      </c>
      <c r="F90" s="146" t="e">
        <f>'Energy, GHG (2)'!F81*1000/'Production, Raw Mat'!F$4</f>
        <v>#DIV/0!</v>
      </c>
      <c r="G90" s="146" t="e">
        <f>'Energy, GHG (2)'!G81*1000/'Production, Raw Mat'!G$4</f>
        <v>#DIV/0!</v>
      </c>
      <c r="H90" s="146" t="e">
        <f>'Energy, GHG (2)'!H81*1000/'Production, Raw Mat'!H$4</f>
        <v>#DIV/0!</v>
      </c>
      <c r="I90" s="146" t="e">
        <f>'Energy, GHG (2)'!I81*1000/'Production, Raw Mat'!I$4</f>
        <v>#DIV/0!</v>
      </c>
      <c r="J90" s="146" t="e">
        <f>'Energy, GHG (2)'!J81*1000/'Production, Raw Mat'!J$4</f>
        <v>#DIV/0!</v>
      </c>
      <c r="K90" s="146" t="e">
        <f>'Energy, GHG (2)'!K81*1000/'Production, Raw Mat'!K$4</f>
        <v>#DIV/0!</v>
      </c>
      <c r="L90" s="146" t="e">
        <f>'Energy, GHG (2)'!L81*1000/'Production, Raw Mat'!L$4</f>
        <v>#DIV/0!</v>
      </c>
      <c r="M90" s="146">
        <f>'Energy, GHG (2)'!M81*1000/'Production, Raw Mat'!M$3</f>
        <v>0</v>
      </c>
      <c r="N90" s="146">
        <f>'Energy, GHG (2)'!N81*1000/'Production, Raw Mat'!N$3</f>
        <v>0</v>
      </c>
      <c r="O90" s="146">
        <f>'Energy, GHG (2)'!O81*1000/'Production, Raw Mat'!O$3</f>
        <v>0</v>
      </c>
      <c r="P90" s="146">
        <f>'Energy, GHG (2)'!P81*1000/'Production, Raw Mat'!P$3</f>
        <v>0</v>
      </c>
      <c r="Q90" s="146">
        <f>'Energy, GHG (2)'!Q81*1000/'Production, Raw Mat'!Q$3</f>
        <v>0</v>
      </c>
      <c r="R90" s="146">
        <f>'Energy, GHG (2)'!R81*1000/'Production, Raw Mat'!R$3</f>
        <v>0</v>
      </c>
      <c r="S90" s="146">
        <f>'Energy, GHG (2)'!S81*1000/'Production, Raw Mat'!S$3</f>
        <v>0</v>
      </c>
      <c r="T90" s="168"/>
      <c r="U90" s="157"/>
    </row>
    <row r="91" spans="1:21" s="145" customFormat="1" ht="12.75">
      <c r="A91" s="203" t="s">
        <v>392</v>
      </c>
      <c r="B91" s="206" t="s">
        <v>183</v>
      </c>
      <c r="C91" s="203">
        <f>'Energy, GHG (2)'!C82*1000/'Production, Raw Mat'!C$5</f>
        <v>590.23514329389661</v>
      </c>
      <c r="D91" s="203">
        <f>'Energy, GHG (2)'!D82*1000/'Production, Raw Mat'!D$5</f>
        <v>708.93568398565094</v>
      </c>
      <c r="E91" s="203">
        <f>'Energy, GHG (2)'!E82*1000/'Production, Raw Mat'!E$5</f>
        <v>637.99815716798219</v>
      </c>
      <c r="F91" s="203">
        <f>'Energy, GHG (2)'!F82*1000/'Production, Raw Mat'!F$5</f>
        <v>639.07370512004957</v>
      </c>
      <c r="G91" s="203">
        <f>'Energy, GHG (2)'!G82*1000/'Production, Raw Mat'!G$5</f>
        <v>594.56563049781948</v>
      </c>
      <c r="H91" s="203">
        <f>'Energy, GHG (2)'!H82*1000/'Production, Raw Mat'!H$5</f>
        <v>0</v>
      </c>
      <c r="I91" s="203">
        <f>'Energy, GHG (2)'!I82*1000/'Production, Raw Mat'!I$5</f>
        <v>0</v>
      </c>
      <c r="J91" s="203">
        <f>'Energy, GHG (2)'!J82*1000/'Production, Raw Mat'!J$5</f>
        <v>0</v>
      </c>
      <c r="K91" s="203">
        <f>'Energy, GHG (2)'!K82*1000/'Production, Raw Mat'!K$5</f>
        <v>0</v>
      </c>
      <c r="L91" s="203">
        <f>'Energy, GHG (2)'!L82*1000/'Production, Raw Mat'!L$5</f>
        <v>0</v>
      </c>
      <c r="M91" s="203">
        <f>'Energy, GHG (2)'!M82*1000/'Production, Raw Mat'!M$3</f>
        <v>0</v>
      </c>
      <c r="N91" s="203">
        <f>'Energy, GHG (2)'!N82*1000/'Production, Raw Mat'!N$3</f>
        <v>0</v>
      </c>
      <c r="O91" s="205">
        <f>'Energy, GHG (2)'!O82*1000/'Production, Raw Mat'!O$5</f>
        <v>242.58625916837221</v>
      </c>
      <c r="P91" s="205">
        <f>'Energy, GHG (2)'!P82*1000/'Production, Raw Mat'!P$5</f>
        <v>637.66006733384768</v>
      </c>
      <c r="Q91" s="205">
        <f>'Energy, GHG (2)'!Q82*1000/'Production, Raw Mat'!Q$5</f>
        <v>407.12249596689588</v>
      </c>
      <c r="R91" s="205">
        <f>'Energy, GHG (2)'!R82*1000/'Production, Raw Mat'!R$5</f>
        <v>0</v>
      </c>
      <c r="S91" s="205">
        <f>'Energy, GHG (2)'!S82*1000/'Production, Raw Mat'!S$5</f>
        <v>0</v>
      </c>
      <c r="T91" s="169"/>
      <c r="U91" s="157"/>
    </row>
    <row r="92" spans="1:21" s="145" customFormat="1" ht="12.75">
      <c r="A92" s="155" t="s">
        <v>398</v>
      </c>
      <c r="B92" s="160" t="s">
        <v>378</v>
      </c>
      <c r="C92" s="146">
        <f>'Energy, GHG (2)'!C83*1000/'Production, Raw Mat'!C$3</f>
        <v>666.3162716254111</v>
      </c>
      <c r="D92" s="146">
        <f>'Energy, GHG (2)'!D83*1000/'Production, Raw Mat'!D$3</f>
        <v>791.16949349431718</v>
      </c>
      <c r="E92" s="146">
        <f>'Energy, GHG (2)'!E83*1000/'Production, Raw Mat'!E$3</f>
        <v>706.69254886466911</v>
      </c>
      <c r="F92" s="146">
        <f>'Energy, GHG (2)'!F83*1000/'Production, Raw Mat'!F$3</f>
        <v>709.75870137126083</v>
      </c>
      <c r="G92" s="146">
        <f>'Energy, GHG (2)'!G83*1000/'Production, Raw Mat'!G$3</f>
        <v>671.19780543032653</v>
      </c>
      <c r="H92" s="146">
        <f>'Energy, GHG (2)'!H83*1000/'Production, Raw Mat'!H$3</f>
        <v>0</v>
      </c>
      <c r="I92" s="146">
        <f>'Energy, GHG (2)'!I83*1000/'Production, Raw Mat'!I$3</f>
        <v>0</v>
      </c>
      <c r="J92" s="146">
        <f>'Energy, GHG (2)'!J83*1000/'Production, Raw Mat'!J$3</f>
        <v>0</v>
      </c>
      <c r="K92" s="146">
        <f>'Energy, GHG (2)'!K83*1000/'Production, Raw Mat'!K$3</f>
        <v>0</v>
      </c>
      <c r="L92" s="146">
        <f>'Energy, GHG (2)'!L83*1000/'Production, Raw Mat'!L$3</f>
        <v>0</v>
      </c>
      <c r="M92" s="146">
        <f>'Energy, GHG (2)'!M83*1000/'Production, Raw Mat'!M$3</f>
        <v>0</v>
      </c>
      <c r="N92" s="146">
        <f>'Energy, GHG (2)'!N83*1000/'Production, Raw Mat'!N$3</f>
        <v>0</v>
      </c>
      <c r="O92" s="146">
        <f>'Energy, GHG (2)'!O83*1000/'Production, Raw Mat'!O$3</f>
        <v>271.68715830042254</v>
      </c>
      <c r="P92" s="146">
        <f>'Energy, GHG (2)'!P83*1000/'Production, Raw Mat'!P$3</f>
        <v>711.00251178723511</v>
      </c>
      <c r="Q92" s="146">
        <f>'Energy, GHG (2)'!Q83*1000/'Production, Raw Mat'!Q$3</f>
        <v>455.77428466270459</v>
      </c>
      <c r="R92" s="146">
        <f>'Energy, GHG (2)'!R83*1000/'Production, Raw Mat'!R$3</f>
        <v>0</v>
      </c>
      <c r="S92" s="146">
        <f>'Energy, GHG (2)'!S83*1000/'Production, Raw Mat'!S$3</f>
        <v>0</v>
      </c>
      <c r="T92" s="168"/>
      <c r="U92" s="157"/>
    </row>
    <row r="93" spans="1:21" s="145" customFormat="1" ht="12.75">
      <c r="A93" s="155" t="s">
        <v>393</v>
      </c>
      <c r="B93" s="160" t="s">
        <v>378</v>
      </c>
      <c r="C93" s="146" t="e">
        <f>'Energy, GHG (2)'!C84*1000/'Production, Raw Mat'!C$4</f>
        <v>#DIV/0!</v>
      </c>
      <c r="D93" s="146" t="e">
        <f>'Energy, GHG (2)'!D84*1000/'Production, Raw Mat'!D$4</f>
        <v>#DIV/0!</v>
      </c>
      <c r="E93" s="146" t="e">
        <f>'Energy, GHG (2)'!E84*1000/'Production, Raw Mat'!E$4</f>
        <v>#DIV/0!</v>
      </c>
      <c r="F93" s="146" t="e">
        <f>'Energy, GHG (2)'!F84*1000/'Production, Raw Mat'!F$4</f>
        <v>#DIV/0!</v>
      </c>
      <c r="G93" s="146" t="e">
        <f>'Energy, GHG (2)'!G84*1000/'Production, Raw Mat'!G$4</f>
        <v>#DIV/0!</v>
      </c>
      <c r="H93" s="146" t="e">
        <f>'Energy, GHG (2)'!H84*1000/'Production, Raw Mat'!H$4</f>
        <v>#DIV/0!</v>
      </c>
      <c r="I93" s="146" t="e">
        <f>'Energy, GHG (2)'!I84*1000/'Production, Raw Mat'!I$4</f>
        <v>#DIV/0!</v>
      </c>
      <c r="J93" s="146" t="e">
        <f>'Energy, GHG (2)'!J84*1000/'Production, Raw Mat'!J$4</f>
        <v>#DIV/0!</v>
      </c>
      <c r="K93" s="146" t="e">
        <f>'Energy, GHG (2)'!K84*1000/'Production, Raw Mat'!K$4</f>
        <v>#DIV/0!</v>
      </c>
      <c r="L93" s="146" t="e">
        <f>'Energy, GHG (2)'!L84*1000/'Production, Raw Mat'!L$4</f>
        <v>#DIV/0!</v>
      </c>
      <c r="M93" s="146" t="e">
        <f>'Energy, GHG (2)'!M84*1000/'Production, Raw Mat'!M$4</f>
        <v>#DIV/0!</v>
      </c>
      <c r="N93" s="146">
        <f>'Energy, GHG (2)'!N84*1000/'Production, Raw Mat'!N$4</f>
        <v>0</v>
      </c>
      <c r="O93" s="146">
        <f>'Energy, GHG (2)'!O84*1000/'Production, Raw Mat'!O$4</f>
        <v>0</v>
      </c>
      <c r="P93" s="146" t="e">
        <f>'Energy, GHG (2)'!P84*1000/'Production, Raw Mat'!P$4</f>
        <v>#DIV/0!</v>
      </c>
      <c r="Q93" s="146" t="e">
        <f>'Energy, GHG (2)'!Q84*1000/'Production, Raw Mat'!Q$4</f>
        <v>#DIV/0!</v>
      </c>
      <c r="R93" s="146" t="e">
        <f>'Energy, GHG (2)'!R84*1000/'Production, Raw Mat'!R$4</f>
        <v>#DIV/0!</v>
      </c>
      <c r="S93" s="146">
        <f>'Energy, GHG (2)'!S84*1000/'Production, Raw Mat'!S$4</f>
        <v>0</v>
      </c>
      <c r="T93" s="168"/>
      <c r="U93" s="157"/>
    </row>
    <row r="94" spans="1:21" s="145" customFormat="1" ht="12.75">
      <c r="A94" s="124" t="s">
        <v>394</v>
      </c>
      <c r="B94" s="158" t="s">
        <v>183</v>
      </c>
      <c r="C94" s="124">
        <f>'Energy, GHG (2)'!C85*1000/'Production, Raw Mat'!C$5</f>
        <v>666.3162716254111</v>
      </c>
      <c r="D94" s="124">
        <f>'Energy, GHG (2)'!D85*1000/'Production, Raw Mat'!D$5</f>
        <v>791.16949349431718</v>
      </c>
      <c r="E94" s="124">
        <f>'Energy, GHG (2)'!E85*1000/'Production, Raw Mat'!E$5</f>
        <v>706.69254886466911</v>
      </c>
      <c r="F94" s="124">
        <f>'Energy, GHG (2)'!F85*1000/'Production, Raw Mat'!F$5</f>
        <v>709.75870137126083</v>
      </c>
      <c r="G94" s="124">
        <f>'Energy, GHG (2)'!G85*1000/'Production, Raw Mat'!G$5</f>
        <v>671.19780543032653</v>
      </c>
      <c r="H94" s="124">
        <f>'Energy, GHG (2)'!H85*1000/'Production, Raw Mat'!H$5</f>
        <v>0</v>
      </c>
      <c r="I94" s="124">
        <f>'Energy, GHG (2)'!I85*1000/'Production, Raw Mat'!I$5</f>
        <v>0</v>
      </c>
      <c r="J94" s="124">
        <f>'Energy, GHG (2)'!J85*1000/'Production, Raw Mat'!J$5</f>
        <v>0</v>
      </c>
      <c r="K94" s="124">
        <f>'Energy, GHG (2)'!K85*1000/'Production, Raw Mat'!K$5</f>
        <v>0</v>
      </c>
      <c r="L94" s="124">
        <f>'Energy, GHG (2)'!L85*1000/'Production, Raw Mat'!L$5</f>
        <v>0</v>
      </c>
      <c r="M94" s="124">
        <f>'Energy, GHG (2)'!M85*1000/'Production, Raw Mat'!M$5</f>
        <v>0</v>
      </c>
      <c r="N94" s="124">
        <f>'Energy, GHG (2)'!N85*1000/'Production, Raw Mat'!N$5</f>
        <v>0</v>
      </c>
      <c r="O94" s="124">
        <f>'Energy, GHG (2)'!O85*1000/'Production, Raw Mat'!O$5</f>
        <v>271.00812044999827</v>
      </c>
      <c r="P94" s="124">
        <f>'Energy, GHG (2)'!P85*1000/'Production, Raw Mat'!P$5</f>
        <v>711.00251178723511</v>
      </c>
      <c r="Q94" s="124">
        <f>'Energy, GHG (2)'!Q85*1000/'Production, Raw Mat'!Q$5</f>
        <v>455.77428466270459</v>
      </c>
      <c r="R94" s="124">
        <f>'Energy, GHG (2)'!R85*1000/'Production, Raw Mat'!R$5</f>
        <v>0</v>
      </c>
      <c r="S94" s="124">
        <f>'Energy, GHG (2)'!S85*1000/'Production, Raw Mat'!S$5</f>
        <v>0</v>
      </c>
      <c r="T94" s="168"/>
      <c r="U94" s="157"/>
    </row>
    <row r="95" spans="1:21" s="145" customFormat="1" ht="12.75">
      <c r="A95" s="155" t="s">
        <v>399</v>
      </c>
      <c r="B95" s="160" t="s">
        <v>378</v>
      </c>
      <c r="C95" s="146">
        <f>'Energy, GHG (2)'!C86*1000/'Production, Raw Mat'!C$3</f>
        <v>109.32292094084752</v>
      </c>
      <c r="D95" s="146">
        <f>'Energy, GHG (2)'!D86*1000/'Production, Raw Mat'!D$3</f>
        <v>121.31318333434153</v>
      </c>
      <c r="E95" s="146">
        <f>'Energy, GHG (2)'!E86*1000/'Production, Raw Mat'!E$3</f>
        <v>101.30054836526325</v>
      </c>
      <c r="F95" s="146">
        <f>'Energy, GHG (2)'!F86*1000/'Production, Raw Mat'!F$3</f>
        <v>107.79916713470016</v>
      </c>
      <c r="G95" s="146">
        <f>'Energy, GHG (2)'!G86*1000/'Production, Raw Mat'!G$3</f>
        <v>112.27818741708447</v>
      </c>
      <c r="H95" s="146">
        <f>'Energy, GHG (2)'!H86*1000/'Production, Raw Mat'!H$3</f>
        <v>0</v>
      </c>
      <c r="I95" s="146">
        <f>'Energy, GHG (2)'!I86*1000/'Production, Raw Mat'!I$3</f>
        <v>0</v>
      </c>
      <c r="J95" s="146">
        <f>'Energy, GHG (2)'!J86*1000/'Production, Raw Mat'!J$3</f>
        <v>0</v>
      </c>
      <c r="K95" s="146">
        <f>'Energy, GHG (2)'!K86*1000/'Production, Raw Mat'!K$3</f>
        <v>0</v>
      </c>
      <c r="L95" s="146">
        <f>'Energy, GHG (2)'!L86*1000/'Production, Raw Mat'!L$3</f>
        <v>0</v>
      </c>
      <c r="M95" s="146">
        <f>M86*1000/'Production, Raw Mat'!M$3</f>
        <v>0</v>
      </c>
      <c r="N95" s="146">
        <f>N86*1000/'Production, Raw Mat'!N$3</f>
        <v>0</v>
      </c>
      <c r="O95" s="146">
        <f>O86*1000/'Production, Raw Mat'!O$3</f>
        <v>42.119648802232952</v>
      </c>
      <c r="P95" s="146">
        <f>P86*1000/'Production, Raw Mat'!P$3</f>
        <v>107.34386936143844</v>
      </c>
      <c r="Q95" s="146">
        <f>Q86*1000/'Production, Raw Mat'!Q$3</f>
        <v>72.667467701801399</v>
      </c>
      <c r="R95" s="146">
        <f>R86*1000/'Production, Raw Mat'!R$3</f>
        <v>0</v>
      </c>
      <c r="S95" s="146">
        <f>S86*1000/'Production, Raw Mat'!S$3</f>
        <v>0</v>
      </c>
      <c r="T95" s="168"/>
      <c r="U95" s="157"/>
    </row>
    <row r="96" spans="1:21" s="145" customFormat="1" ht="12.75">
      <c r="A96" s="155" t="s">
        <v>395</v>
      </c>
      <c r="B96" s="160" t="s">
        <v>378</v>
      </c>
      <c r="C96" s="146" t="e">
        <f>'Energy, GHG (2)'!C87*1000/'Production, Raw Mat'!C$4</f>
        <v>#DIV/0!</v>
      </c>
      <c r="D96" s="146" t="e">
        <f>'Energy, GHG (2)'!D87*1000/'Production, Raw Mat'!D$4</f>
        <v>#DIV/0!</v>
      </c>
      <c r="E96" s="146" t="e">
        <f>'Energy, GHG (2)'!E87*1000/'Production, Raw Mat'!E$4</f>
        <v>#DIV/0!</v>
      </c>
      <c r="F96" s="146" t="e">
        <f>'Energy, GHG (2)'!F87*1000/'Production, Raw Mat'!F$4</f>
        <v>#DIV/0!</v>
      </c>
      <c r="G96" s="146" t="e">
        <f>'Energy, GHG (2)'!G87*1000/'Production, Raw Mat'!G$4</f>
        <v>#DIV/0!</v>
      </c>
      <c r="H96" s="146" t="e">
        <f>'Energy, GHG (2)'!H87*1000/'Production, Raw Mat'!H$4</f>
        <v>#DIV/0!</v>
      </c>
      <c r="I96" s="146" t="e">
        <f>'Energy, GHG (2)'!I87*1000/'Production, Raw Mat'!I$4</f>
        <v>#DIV/0!</v>
      </c>
      <c r="J96" s="146" t="e">
        <f>'Energy, GHG (2)'!J87*1000/'Production, Raw Mat'!J$4</f>
        <v>#DIV/0!</v>
      </c>
      <c r="K96" s="146" t="e">
        <f>'Energy, GHG (2)'!K87*1000/'Production, Raw Mat'!K$4</f>
        <v>#DIV/0!</v>
      </c>
      <c r="L96" s="146" t="e">
        <f>'Energy, GHG (2)'!L87*1000/'Production, Raw Mat'!L$4</f>
        <v>#DIV/0!</v>
      </c>
      <c r="M96" s="146">
        <f>M87*1000/'Production, Raw Mat'!M$3</f>
        <v>0</v>
      </c>
      <c r="N96" s="146">
        <f>N87*1000/'Production, Raw Mat'!N$3</f>
        <v>0</v>
      </c>
      <c r="O96" s="146">
        <f>O87*1000/'Production, Raw Mat'!O$3</f>
        <v>0</v>
      </c>
      <c r="P96" s="146">
        <f>P87*1000/'Production, Raw Mat'!P$3</f>
        <v>0</v>
      </c>
      <c r="Q96" s="146">
        <f>Q87*1000/'Production, Raw Mat'!Q$3</f>
        <v>0</v>
      </c>
      <c r="R96" s="146">
        <f>R87*1000/'Production, Raw Mat'!R$3</f>
        <v>0</v>
      </c>
      <c r="S96" s="146">
        <f>S87*1000/'Production, Raw Mat'!S$3</f>
        <v>0</v>
      </c>
      <c r="T96" s="168"/>
      <c r="U96" s="157"/>
    </row>
    <row r="97" spans="1:21" s="145" customFormat="1" ht="12.75">
      <c r="A97" s="203" t="s">
        <v>396</v>
      </c>
      <c r="B97" s="206" t="s">
        <v>183</v>
      </c>
      <c r="C97" s="203">
        <f>'Energy, GHG (2)'!C88*1000/'Production, Raw Mat'!C$5</f>
        <v>109.32292094084752</v>
      </c>
      <c r="D97" s="203">
        <f>'Energy, GHG (2)'!D88*1000/'Production, Raw Mat'!D$5</f>
        <v>121.31318333434153</v>
      </c>
      <c r="E97" s="203">
        <f>'Energy, GHG (2)'!E88*1000/'Production, Raw Mat'!E$5</f>
        <v>101.30054836526325</v>
      </c>
      <c r="F97" s="203">
        <f>'Energy, GHG (2)'!F88*1000/'Production, Raw Mat'!F$5</f>
        <v>107.79916713470016</v>
      </c>
      <c r="G97" s="203">
        <f>'Energy, GHG (2)'!G88*1000/'Production, Raw Mat'!G$5</f>
        <v>112.27818741708447</v>
      </c>
      <c r="H97" s="203">
        <f>'Energy, GHG (2)'!H88*1000/'Production, Raw Mat'!H$5</f>
        <v>0</v>
      </c>
      <c r="I97" s="203">
        <f>'Energy, GHG (2)'!I88*1000/'Production, Raw Mat'!I$5</f>
        <v>0</v>
      </c>
      <c r="J97" s="203">
        <f>'Energy, GHG (2)'!J88*1000/'Production, Raw Mat'!J$5</f>
        <v>0</v>
      </c>
      <c r="K97" s="203">
        <f>'Energy, GHG (2)'!K88*1000/'Production, Raw Mat'!K$5</f>
        <v>0</v>
      </c>
      <c r="L97" s="203">
        <f>'Energy, GHG (2)'!L88*1000/'Production, Raw Mat'!L$5</f>
        <v>0</v>
      </c>
      <c r="M97" s="203">
        <f>M88*1000/'Production, Raw Mat'!M$3</f>
        <v>0</v>
      </c>
      <c r="N97" s="203">
        <f>N88*1000/'Production, Raw Mat'!N$3</f>
        <v>0</v>
      </c>
      <c r="O97" s="205">
        <f>O88*1000/'Production, Raw Mat'!O$5</f>
        <v>42.014377592646859</v>
      </c>
      <c r="P97" s="205">
        <f>P88*1000/'Production, Raw Mat'!P$5</f>
        <v>107.34386936143844</v>
      </c>
      <c r="Q97" s="205">
        <f>Q88*1000/'Production, Raw Mat'!Q$5</f>
        <v>72.667467701801399</v>
      </c>
      <c r="R97" s="205">
        <f>R88*1000/'Production, Raw Mat'!R$5</f>
        <v>0</v>
      </c>
      <c r="S97" s="205">
        <f>S88*1000/'Production, Raw Mat'!S$5</f>
        <v>0</v>
      </c>
      <c r="T97" s="169"/>
      <c r="U97" s="157"/>
    </row>
    <row r="98" spans="1:21">
      <c r="C98" s="132">
        <f>C91+C97</f>
        <v>699.55806423474417</v>
      </c>
      <c r="D98" s="132">
        <f t="shared" ref="D98:O98" si="84">D91+D97</f>
        <v>830.24886731999243</v>
      </c>
      <c r="E98" s="132">
        <f t="shared" si="84"/>
        <v>739.29870553324542</v>
      </c>
      <c r="F98" s="132">
        <f t="shared" si="84"/>
        <v>746.87287225474972</v>
      </c>
      <c r="G98" s="132">
        <f t="shared" si="84"/>
        <v>706.84381791490398</v>
      </c>
      <c r="H98" s="132">
        <f t="shared" si="84"/>
        <v>0</v>
      </c>
      <c r="I98" s="132">
        <f t="shared" si="84"/>
        <v>0</v>
      </c>
      <c r="J98" s="132">
        <f t="shared" si="84"/>
        <v>0</v>
      </c>
      <c r="K98" s="132">
        <f t="shared" si="84"/>
        <v>0</v>
      </c>
      <c r="L98" s="132">
        <f t="shared" si="84"/>
        <v>0</v>
      </c>
      <c r="M98" s="132">
        <f t="shared" si="84"/>
        <v>0</v>
      </c>
      <c r="N98" s="132">
        <f t="shared" si="84"/>
        <v>0</v>
      </c>
      <c r="O98" s="132">
        <f t="shared" si="84"/>
        <v>284.60063676101908</v>
      </c>
    </row>
    <row r="99" spans="1:21" ht="13.5">
      <c r="A99" s="126" t="s">
        <v>119</v>
      </c>
      <c r="B99" s="233" t="s">
        <v>192</v>
      </c>
      <c r="C99" s="234"/>
      <c r="D99" s="235"/>
      <c r="E99" s="233" t="s">
        <v>184</v>
      </c>
      <c r="F99" s="234"/>
      <c r="G99" s="235"/>
    </row>
    <row r="100" spans="1:21" ht="12.75">
      <c r="A100" s="80" t="s">
        <v>249</v>
      </c>
      <c r="B100" s="148"/>
      <c r="C100" s="148"/>
      <c r="D100" s="148"/>
      <c r="E100" s="149" t="s">
        <v>334</v>
      </c>
      <c r="F100" s="109">
        <v>98.3</v>
      </c>
      <c r="G100" s="80" t="s">
        <v>5</v>
      </c>
    </row>
    <row r="101" spans="1:21" ht="12.75">
      <c r="A101" s="80" t="s">
        <v>290</v>
      </c>
      <c r="B101" s="80" t="s">
        <v>115</v>
      </c>
      <c r="C101" s="80"/>
      <c r="D101" s="80" t="s">
        <v>5</v>
      </c>
      <c r="E101" s="149" t="s">
        <v>186</v>
      </c>
      <c r="F101" s="109"/>
      <c r="G101" s="80" t="s">
        <v>5</v>
      </c>
    </row>
    <row r="102" spans="1:21">
      <c r="A102" s="80" t="s">
        <v>106</v>
      </c>
      <c r="B102" s="80" t="s">
        <v>116</v>
      </c>
      <c r="C102" s="68">
        <v>1.0549999999999999</v>
      </c>
      <c r="D102" s="150" t="s">
        <v>114</v>
      </c>
      <c r="E102" s="151" t="s">
        <v>187</v>
      </c>
      <c r="F102" s="217">
        <v>59.239899999999999</v>
      </c>
      <c r="G102" s="150" t="s">
        <v>114</v>
      </c>
    </row>
    <row r="103" spans="1:21">
      <c r="A103" s="127" t="s">
        <v>107</v>
      </c>
      <c r="B103" s="127" t="s">
        <v>116</v>
      </c>
      <c r="C103" s="68">
        <v>1.0549999999999999</v>
      </c>
      <c r="D103" s="150" t="s">
        <v>114</v>
      </c>
      <c r="E103" s="151" t="s">
        <v>187</v>
      </c>
      <c r="F103" s="109"/>
      <c r="G103" s="80" t="s">
        <v>5</v>
      </c>
    </row>
    <row r="104" spans="1:21" ht="12.75">
      <c r="A104" s="80" t="s">
        <v>176</v>
      </c>
      <c r="B104" s="80" t="s">
        <v>117</v>
      </c>
      <c r="C104" s="68">
        <v>4.9299999999999997E-2</v>
      </c>
      <c r="D104" s="150" t="s">
        <v>114</v>
      </c>
      <c r="E104" s="149" t="s">
        <v>190</v>
      </c>
      <c r="F104" s="217">
        <v>3.1133000000000002</v>
      </c>
      <c r="G104" s="150" t="s">
        <v>114</v>
      </c>
    </row>
    <row r="105" spans="1:21" ht="12.75">
      <c r="A105" s="80" t="s">
        <v>189</v>
      </c>
      <c r="B105" s="148"/>
      <c r="C105" s="148"/>
      <c r="D105" s="148"/>
      <c r="E105" s="149" t="s">
        <v>190</v>
      </c>
      <c r="F105" s="217">
        <v>3.1899000000000002</v>
      </c>
      <c r="G105" s="150" t="s">
        <v>114</v>
      </c>
    </row>
    <row r="106" spans="1:21">
      <c r="A106" s="80" t="s">
        <v>109</v>
      </c>
      <c r="B106" s="80" t="s">
        <v>118</v>
      </c>
      <c r="C106" s="68">
        <v>3.977E-2</v>
      </c>
      <c r="D106" s="150" t="s">
        <v>114</v>
      </c>
      <c r="E106" s="151" t="s">
        <v>188</v>
      </c>
      <c r="F106" s="217">
        <v>3.0832999999999999</v>
      </c>
      <c r="G106" s="150" t="s">
        <v>191</v>
      </c>
    </row>
    <row r="107" spans="1:21">
      <c r="A107" s="80" t="s">
        <v>238</v>
      </c>
      <c r="B107" s="80" t="s">
        <v>118</v>
      </c>
      <c r="C107" s="68">
        <v>3.6420000000000001E-2</v>
      </c>
      <c r="D107" s="150" t="s">
        <v>114</v>
      </c>
      <c r="E107" s="151" t="s">
        <v>188</v>
      </c>
      <c r="F107" s="217">
        <v>2.7080000000000002</v>
      </c>
      <c r="G107" s="150" t="s">
        <v>114</v>
      </c>
    </row>
    <row r="108" spans="1:21">
      <c r="A108" s="80" t="s">
        <v>239</v>
      </c>
      <c r="B108" s="148"/>
      <c r="C108" s="148"/>
      <c r="D108" s="148"/>
      <c r="E108" s="151" t="s">
        <v>188</v>
      </c>
      <c r="F108" s="217">
        <v>2.7446000000000002</v>
      </c>
      <c r="G108" s="150" t="s">
        <v>114</v>
      </c>
    </row>
    <row r="109" spans="1:21">
      <c r="A109" s="80" t="s">
        <v>111</v>
      </c>
      <c r="B109" s="80" t="s">
        <v>118</v>
      </c>
      <c r="C109" s="68">
        <v>3.1480000000000001E-2</v>
      </c>
      <c r="D109" s="150" t="s">
        <v>114</v>
      </c>
      <c r="E109" s="151" t="s">
        <v>188</v>
      </c>
      <c r="F109" s="217">
        <v>2.2376</v>
      </c>
      <c r="G109" s="150" t="s">
        <v>114</v>
      </c>
    </row>
    <row r="110" spans="1:21" ht="12.75">
      <c r="A110" s="80" t="s">
        <v>112</v>
      </c>
      <c r="B110" s="80" t="s">
        <v>115</v>
      </c>
      <c r="C110" s="80"/>
      <c r="D110" s="80" t="s">
        <v>5</v>
      </c>
      <c r="E110" s="149" t="s">
        <v>186</v>
      </c>
      <c r="F110" s="109"/>
      <c r="G110" s="80" t="s">
        <v>5</v>
      </c>
    </row>
    <row r="111" spans="1:21">
      <c r="A111" s="144" t="s">
        <v>113</v>
      </c>
      <c r="B111" s="80" t="s">
        <v>117</v>
      </c>
      <c r="C111" s="144">
        <v>1.44E-2</v>
      </c>
      <c r="D111" s="80" t="s">
        <v>5</v>
      </c>
      <c r="E111" s="148"/>
      <c r="F111" s="148"/>
      <c r="G111" s="148"/>
    </row>
    <row r="112" spans="1:21" ht="12.75">
      <c r="A112" s="144" t="s">
        <v>52</v>
      </c>
      <c r="B112" s="144" t="s">
        <v>99</v>
      </c>
      <c r="C112" s="68">
        <f>3.6</f>
        <v>3.6</v>
      </c>
      <c r="D112" s="150" t="s">
        <v>114</v>
      </c>
      <c r="E112" s="151" t="s">
        <v>400</v>
      </c>
      <c r="F112" s="215">
        <v>0.8649</v>
      </c>
      <c r="G112" s="150" t="s">
        <v>114</v>
      </c>
    </row>
    <row r="113" spans="1:21" ht="12.75">
      <c r="A113" s="144" t="s">
        <v>96</v>
      </c>
      <c r="B113" s="144" t="s">
        <v>99</v>
      </c>
      <c r="C113" s="68">
        <f>3.6</f>
        <v>3.6</v>
      </c>
      <c r="D113" s="150" t="s">
        <v>114</v>
      </c>
      <c r="E113" s="151" t="s">
        <v>185</v>
      </c>
      <c r="F113" s="80"/>
      <c r="G113" s="80" t="s">
        <v>5</v>
      </c>
    </row>
    <row r="114" spans="1:21">
      <c r="A114" s="80" t="s">
        <v>97</v>
      </c>
      <c r="B114" s="144" t="s">
        <v>99</v>
      </c>
      <c r="C114" s="68">
        <f>3.6</f>
        <v>3.6</v>
      </c>
      <c r="D114" s="150" t="s">
        <v>114</v>
      </c>
      <c r="E114" s="148"/>
      <c r="F114" s="148"/>
      <c r="G114" s="148"/>
    </row>
    <row r="115" spans="1:21" ht="12.75">
      <c r="A115" s="144" t="s">
        <v>174</v>
      </c>
      <c r="B115" s="148"/>
      <c r="C115" s="148"/>
      <c r="D115" s="148"/>
      <c r="E115" s="149" t="s">
        <v>190</v>
      </c>
      <c r="F115" s="217">
        <v>3.3845999999999998</v>
      </c>
      <c r="G115" s="150" t="s">
        <v>191</v>
      </c>
    </row>
    <row r="116" spans="1:21" ht="15">
      <c r="A116" s="127" t="s">
        <v>175</v>
      </c>
      <c r="B116" s="148"/>
      <c r="C116" s="148"/>
      <c r="D116" s="148"/>
      <c r="E116" s="149" t="s">
        <v>190</v>
      </c>
      <c r="F116" s="217">
        <v>439.71</v>
      </c>
      <c r="G116" s="150" t="s">
        <v>191</v>
      </c>
    </row>
    <row r="117" spans="1:21" ht="12.75">
      <c r="A117" s="80" t="s">
        <v>177</v>
      </c>
      <c r="B117" s="148"/>
      <c r="C117" s="148"/>
      <c r="D117" s="148"/>
      <c r="E117" s="151" t="s">
        <v>193</v>
      </c>
      <c r="F117" s="217">
        <v>25</v>
      </c>
      <c r="G117" s="150" t="s">
        <v>191</v>
      </c>
    </row>
    <row r="120" spans="1:21" s="142" customFormat="1">
      <c r="A120" s="126" t="s">
        <v>122</v>
      </c>
      <c r="B120" s="126" t="s">
        <v>73</v>
      </c>
      <c r="C120" s="126" t="s">
        <v>74</v>
      </c>
      <c r="D120" s="126" t="s">
        <v>75</v>
      </c>
      <c r="E120" s="126" t="s">
        <v>76</v>
      </c>
      <c r="F120" s="126" t="s">
        <v>77</v>
      </c>
      <c r="G120" s="126" t="s">
        <v>78</v>
      </c>
      <c r="H120" s="126" t="s">
        <v>79</v>
      </c>
      <c r="I120" s="126" t="s">
        <v>80</v>
      </c>
      <c r="J120" s="126" t="s">
        <v>81</v>
      </c>
      <c r="K120" s="126" t="s">
        <v>82</v>
      </c>
      <c r="L120" s="126" t="s">
        <v>83</v>
      </c>
      <c r="M120" s="126" t="s">
        <v>84</v>
      </c>
      <c r="N120" s="126" t="s">
        <v>85</v>
      </c>
      <c r="O120" s="132"/>
      <c r="P120" s="132"/>
      <c r="Q120" s="132"/>
      <c r="R120" s="132"/>
      <c r="S120" s="132"/>
      <c r="T120" s="157"/>
      <c r="U120" s="157"/>
    </row>
    <row r="121" spans="1:21">
      <c r="A121" s="80" t="s">
        <v>104</v>
      </c>
      <c r="B121" s="150" t="s">
        <v>180</v>
      </c>
      <c r="C121" s="80"/>
      <c r="D121" s="80"/>
      <c r="E121" s="80"/>
      <c r="F121" s="80"/>
      <c r="G121" s="80"/>
      <c r="H121" s="80"/>
      <c r="I121" s="80"/>
      <c r="J121" s="80"/>
      <c r="K121" s="80"/>
      <c r="L121" s="80"/>
      <c r="M121" s="80"/>
      <c r="N121" s="80"/>
    </row>
    <row r="122" spans="1:21">
      <c r="A122" s="80" t="s">
        <v>105</v>
      </c>
      <c r="B122" s="150" t="s">
        <v>180</v>
      </c>
      <c r="C122" s="80"/>
      <c r="D122" s="80"/>
      <c r="E122" s="80"/>
      <c r="F122" s="80"/>
      <c r="G122" s="80"/>
      <c r="H122" s="80"/>
      <c r="I122" s="80"/>
      <c r="J122" s="80"/>
      <c r="K122" s="80"/>
      <c r="L122" s="80"/>
      <c r="M122" s="80"/>
      <c r="N122" s="80"/>
    </row>
    <row r="123" spans="1:21">
      <c r="A123" s="80" t="s">
        <v>106</v>
      </c>
      <c r="B123" s="150" t="s">
        <v>180</v>
      </c>
      <c r="C123" s="80"/>
      <c r="D123" s="80"/>
      <c r="E123" s="80"/>
      <c r="F123" s="80"/>
      <c r="G123" s="80"/>
      <c r="H123" s="80"/>
      <c r="I123" s="80"/>
      <c r="J123" s="80"/>
      <c r="K123" s="80"/>
      <c r="L123" s="80"/>
      <c r="M123" s="80"/>
      <c r="N123" s="80"/>
    </row>
    <row r="124" spans="1:21">
      <c r="A124" s="127" t="s">
        <v>107</v>
      </c>
      <c r="B124" s="150" t="s">
        <v>180</v>
      </c>
      <c r="C124" s="127"/>
      <c r="D124" s="127"/>
      <c r="E124" s="127"/>
      <c r="F124" s="127"/>
      <c r="G124" s="127"/>
      <c r="H124" s="127"/>
      <c r="I124" s="127"/>
      <c r="J124" s="127"/>
      <c r="K124" s="127"/>
      <c r="L124" s="127"/>
      <c r="M124" s="127"/>
      <c r="N124" s="127"/>
    </row>
    <row r="125" spans="1:21">
      <c r="A125" s="80" t="s">
        <v>108</v>
      </c>
      <c r="B125" s="150" t="s">
        <v>180</v>
      </c>
      <c r="C125" s="80"/>
      <c r="D125" s="80"/>
      <c r="E125" s="80"/>
      <c r="F125" s="80"/>
      <c r="G125" s="80"/>
      <c r="H125" s="80"/>
      <c r="I125" s="80"/>
      <c r="J125" s="80"/>
      <c r="K125" s="80"/>
      <c r="L125" s="80"/>
      <c r="M125" s="80"/>
      <c r="N125" s="80"/>
    </row>
    <row r="126" spans="1:21">
      <c r="A126" s="80" t="s">
        <v>109</v>
      </c>
      <c r="B126" s="150" t="s">
        <v>180</v>
      </c>
      <c r="C126" s="80"/>
      <c r="D126" s="80"/>
      <c r="E126" s="80"/>
      <c r="F126" s="80"/>
      <c r="G126" s="80"/>
      <c r="H126" s="80"/>
      <c r="I126" s="80"/>
      <c r="J126" s="80"/>
      <c r="K126" s="80"/>
      <c r="L126" s="80"/>
      <c r="M126" s="80"/>
      <c r="N126" s="80"/>
    </row>
    <row r="127" spans="1:21">
      <c r="A127" s="80" t="s">
        <v>110</v>
      </c>
      <c r="B127" s="152" t="s">
        <v>233</v>
      </c>
      <c r="C127" s="87"/>
      <c r="D127" s="80"/>
      <c r="E127" s="80"/>
      <c r="F127" s="80"/>
      <c r="G127" s="80"/>
      <c r="H127" s="80"/>
      <c r="I127" s="80"/>
      <c r="J127" s="80"/>
      <c r="K127" s="80"/>
      <c r="L127" s="80"/>
      <c r="M127" s="80"/>
      <c r="N127" s="80"/>
    </row>
    <row r="128" spans="1:21">
      <c r="A128" s="80" t="s">
        <v>111</v>
      </c>
      <c r="B128" s="150" t="s">
        <v>180</v>
      </c>
      <c r="C128" s="80"/>
      <c r="D128" s="80"/>
      <c r="E128" s="80"/>
      <c r="F128" s="80"/>
      <c r="G128" s="80"/>
      <c r="H128" s="80"/>
      <c r="I128" s="80"/>
      <c r="J128" s="80"/>
      <c r="K128" s="80"/>
      <c r="L128" s="80"/>
      <c r="M128" s="80"/>
      <c r="N128" s="80"/>
    </row>
    <row r="129" spans="1:14">
      <c r="A129" s="80" t="s">
        <v>112</v>
      </c>
      <c r="B129" s="150" t="s">
        <v>180</v>
      </c>
      <c r="C129" s="80"/>
      <c r="D129" s="80"/>
      <c r="E129" s="80"/>
      <c r="F129" s="80"/>
      <c r="G129" s="80"/>
      <c r="H129" s="80"/>
      <c r="I129" s="80"/>
      <c r="J129" s="80"/>
      <c r="K129" s="80"/>
      <c r="L129" s="80"/>
      <c r="M129" s="80"/>
      <c r="N129" s="80"/>
    </row>
    <row r="130" spans="1:14">
      <c r="A130" s="80" t="s">
        <v>113</v>
      </c>
      <c r="B130" s="150" t="s">
        <v>180</v>
      </c>
      <c r="C130" s="80"/>
      <c r="D130" s="80"/>
      <c r="E130" s="80"/>
      <c r="F130" s="80"/>
      <c r="G130" s="80"/>
      <c r="H130" s="80"/>
      <c r="I130" s="80"/>
      <c r="J130" s="80"/>
      <c r="K130" s="80"/>
      <c r="L130" s="80"/>
      <c r="M130" s="80"/>
      <c r="N130" s="80"/>
    </row>
    <row r="131" spans="1:14">
      <c r="A131" s="80" t="s">
        <v>52</v>
      </c>
      <c r="B131" s="152" t="s">
        <v>233</v>
      </c>
      <c r="C131" s="87"/>
      <c r="D131" s="80"/>
      <c r="E131" s="80"/>
      <c r="F131" s="80"/>
      <c r="G131" s="80"/>
      <c r="H131" s="80"/>
      <c r="I131" s="80"/>
      <c r="J131" s="80"/>
      <c r="K131" s="80"/>
      <c r="L131" s="80"/>
      <c r="M131" s="80"/>
      <c r="N131" s="80"/>
    </row>
    <row r="132" spans="1:14">
      <c r="A132" s="80" t="s">
        <v>96</v>
      </c>
      <c r="B132" s="150" t="s">
        <v>180</v>
      </c>
      <c r="C132" s="80"/>
      <c r="D132" s="80"/>
      <c r="E132" s="80"/>
      <c r="F132" s="80"/>
      <c r="G132" s="80"/>
      <c r="H132" s="80"/>
      <c r="I132" s="80"/>
      <c r="J132" s="80"/>
      <c r="K132" s="80"/>
      <c r="L132" s="80"/>
      <c r="M132" s="80"/>
      <c r="N132" s="80"/>
    </row>
    <row r="133" spans="1:14">
      <c r="A133" s="80" t="s">
        <v>97</v>
      </c>
      <c r="B133" s="150" t="s">
        <v>180</v>
      </c>
      <c r="C133" s="80"/>
      <c r="D133" s="80"/>
      <c r="E133" s="80"/>
      <c r="F133" s="80"/>
      <c r="G133" s="80"/>
      <c r="H133" s="80"/>
      <c r="I133" s="80"/>
      <c r="J133" s="80"/>
      <c r="K133" s="80"/>
      <c r="L133" s="80"/>
      <c r="M133" s="80"/>
      <c r="N133" s="80"/>
    </row>
  </sheetData>
  <mergeCells count="2">
    <mergeCell ref="B99:D99"/>
    <mergeCell ref="E99:G99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00B0F0"/>
  </sheetPr>
  <dimension ref="A2:S22"/>
  <sheetViews>
    <sheetView workbookViewId="0">
      <selection activeCell="I25" sqref="I25"/>
    </sheetView>
  </sheetViews>
  <sheetFormatPr defaultColWidth="8.7109375" defaultRowHeight="12"/>
  <cols>
    <col min="1" max="1" width="35.7109375" style="32" customWidth="1"/>
    <col min="2" max="2" width="6.5703125" style="32" bestFit="1" customWidth="1"/>
    <col min="3" max="3" width="7.42578125" style="32" bestFit="1" customWidth="1"/>
    <col min="4" max="4" width="6.42578125" style="32" customWidth="1"/>
    <col min="5" max="5" width="6.5703125" style="32" customWidth="1"/>
    <col min="6" max="10" width="7" style="32" bestFit="1" customWidth="1"/>
    <col min="11" max="14" width="7.42578125" style="32" bestFit="1" customWidth="1"/>
    <col min="15" max="16" width="7.85546875" style="32" bestFit="1" customWidth="1"/>
    <col min="17" max="19" width="7.42578125" style="32" bestFit="1" customWidth="1"/>
    <col min="20" max="16384" width="8.7109375" style="32"/>
  </cols>
  <sheetData>
    <row r="2" spans="1:19" s="30" customFormat="1">
      <c r="A2" s="29" t="s">
        <v>94</v>
      </c>
      <c r="B2" s="29" t="s">
        <v>73</v>
      </c>
      <c r="C2" s="29" t="s">
        <v>74</v>
      </c>
      <c r="D2" s="29" t="s">
        <v>75</v>
      </c>
      <c r="E2" s="29" t="s">
        <v>76</v>
      </c>
      <c r="F2" s="29" t="s">
        <v>77</v>
      </c>
      <c r="G2" s="29" t="s">
        <v>78</v>
      </c>
      <c r="H2" s="29" t="s">
        <v>79</v>
      </c>
      <c r="I2" s="29" t="s">
        <v>80</v>
      </c>
      <c r="J2" s="29" t="s">
        <v>81</v>
      </c>
      <c r="K2" s="29" t="s">
        <v>82</v>
      </c>
      <c r="L2" s="29" t="s">
        <v>83</v>
      </c>
      <c r="M2" s="29" t="s">
        <v>84</v>
      </c>
      <c r="N2" s="29" t="s">
        <v>85</v>
      </c>
      <c r="O2" s="29" t="s">
        <v>86</v>
      </c>
      <c r="P2" s="29" t="s">
        <v>87</v>
      </c>
      <c r="Q2" s="29" t="s">
        <v>88</v>
      </c>
      <c r="R2" s="29" t="s">
        <v>89</v>
      </c>
      <c r="S2" s="29" t="s">
        <v>90</v>
      </c>
    </row>
    <row r="3" spans="1:19">
      <c r="A3" s="31" t="s">
        <v>351</v>
      </c>
      <c r="B3" s="31" t="s">
        <v>92</v>
      </c>
      <c r="C3" s="89">
        <v>4987</v>
      </c>
      <c r="D3" s="88">
        <v>3058</v>
      </c>
      <c r="E3" s="88">
        <v>6675</v>
      </c>
      <c r="F3" s="88">
        <v>6392</v>
      </c>
      <c r="G3" s="88">
        <v>6393</v>
      </c>
      <c r="H3" s="88">
        <v>6254</v>
      </c>
      <c r="I3" s="88">
        <v>6934</v>
      </c>
      <c r="J3" s="88">
        <v>6241</v>
      </c>
      <c r="K3" s="88">
        <v>5438</v>
      </c>
      <c r="L3" s="88">
        <v>6081</v>
      </c>
      <c r="M3" s="88">
        <v>6741</v>
      </c>
      <c r="N3" s="88">
        <v>7894</v>
      </c>
      <c r="O3" s="80">
        <f>SUM(C3:N3)</f>
        <v>73088</v>
      </c>
      <c r="P3" s="31">
        <f t="shared" ref="P3:P4" si="0">SUM(C3:E3)</f>
        <v>14720</v>
      </c>
      <c r="Q3" s="31">
        <f t="shared" ref="Q3:Q4" si="1">SUM(F3:H3)</f>
        <v>19039</v>
      </c>
      <c r="R3" s="31">
        <f t="shared" ref="R3:R4" si="2">SUM(I3:K3)</f>
        <v>18613</v>
      </c>
      <c r="S3" s="31">
        <f t="shared" ref="S3:S4" si="3">SUM(L3:N3)</f>
        <v>20716</v>
      </c>
    </row>
    <row r="4" spans="1:19">
      <c r="A4" s="31" t="s">
        <v>352</v>
      </c>
      <c r="B4" s="31" t="s">
        <v>92</v>
      </c>
      <c r="C4" s="89">
        <v>0</v>
      </c>
      <c r="D4" s="88">
        <v>0</v>
      </c>
      <c r="E4" s="88">
        <v>0</v>
      </c>
      <c r="F4" s="88">
        <v>0</v>
      </c>
      <c r="G4" s="88">
        <v>0</v>
      </c>
      <c r="H4" s="88">
        <v>0</v>
      </c>
      <c r="I4" s="88">
        <v>0</v>
      </c>
      <c r="J4" s="88">
        <v>0</v>
      </c>
      <c r="K4" s="88">
        <v>0</v>
      </c>
      <c r="L4" s="88">
        <v>0</v>
      </c>
      <c r="M4" s="88">
        <v>0</v>
      </c>
      <c r="N4" s="88">
        <v>0</v>
      </c>
      <c r="O4" s="80">
        <f t="shared" ref="O4" si="4">SUM(C4:N4)</f>
        <v>0</v>
      </c>
      <c r="P4" s="31">
        <f t="shared" si="0"/>
        <v>0</v>
      </c>
      <c r="Q4" s="31">
        <f t="shared" si="1"/>
        <v>0</v>
      </c>
      <c r="R4" s="31">
        <f t="shared" si="2"/>
        <v>0</v>
      </c>
      <c r="S4" s="31">
        <f t="shared" si="3"/>
        <v>0</v>
      </c>
    </row>
    <row r="5" spans="1:19">
      <c r="A5" s="31" t="s">
        <v>353</v>
      </c>
      <c r="B5" s="31" t="s">
        <v>92</v>
      </c>
      <c r="C5" s="130">
        <f>SUM(C3:C4)</f>
        <v>4987</v>
      </c>
      <c r="D5" s="130">
        <f t="shared" ref="D5:N5" si="5">SUM(D3:D4)</f>
        <v>3058</v>
      </c>
      <c r="E5" s="130">
        <f t="shared" si="5"/>
        <v>6675</v>
      </c>
      <c r="F5" s="130">
        <f t="shared" si="5"/>
        <v>6392</v>
      </c>
      <c r="G5" s="130">
        <f t="shared" si="5"/>
        <v>6393</v>
      </c>
      <c r="H5" s="130">
        <f t="shared" si="5"/>
        <v>6254</v>
      </c>
      <c r="I5" s="130">
        <f t="shared" si="5"/>
        <v>6934</v>
      </c>
      <c r="J5" s="130">
        <f t="shared" si="5"/>
        <v>6241</v>
      </c>
      <c r="K5" s="130">
        <f t="shared" si="5"/>
        <v>5438</v>
      </c>
      <c r="L5" s="130">
        <f t="shared" si="5"/>
        <v>6081</v>
      </c>
      <c r="M5" s="130">
        <f t="shared" si="5"/>
        <v>6741</v>
      </c>
      <c r="N5" s="130">
        <f t="shared" si="5"/>
        <v>7894</v>
      </c>
      <c r="O5" s="130">
        <f t="shared" ref="O5:S5" si="6">SUM(O3:O4)</f>
        <v>73088</v>
      </c>
      <c r="P5" s="130">
        <f t="shared" si="6"/>
        <v>14720</v>
      </c>
      <c r="Q5" s="130">
        <f t="shared" si="6"/>
        <v>19039</v>
      </c>
      <c r="R5" s="130">
        <f t="shared" si="6"/>
        <v>18613</v>
      </c>
      <c r="S5" s="130">
        <f t="shared" si="6"/>
        <v>20716</v>
      </c>
    </row>
    <row r="6" spans="1:19" hidden="1">
      <c r="A6" s="31" t="s">
        <v>332</v>
      </c>
      <c r="B6" s="31" t="s">
        <v>92</v>
      </c>
      <c r="C6" s="121">
        <v>0</v>
      </c>
      <c r="D6" s="80">
        <v>0</v>
      </c>
      <c r="E6" s="80">
        <v>0</v>
      </c>
      <c r="F6" s="80">
        <v>0</v>
      </c>
      <c r="G6" s="80">
        <v>0</v>
      </c>
      <c r="H6" s="80">
        <v>0</v>
      </c>
      <c r="I6" s="80">
        <v>0</v>
      </c>
      <c r="J6" s="80">
        <v>0</v>
      </c>
      <c r="K6" s="80"/>
      <c r="L6" s="80"/>
      <c r="M6" s="87"/>
      <c r="N6" s="80"/>
      <c r="O6" s="80">
        <f>SUM(C6:N6)</f>
        <v>0</v>
      </c>
      <c r="P6" s="31">
        <f t="shared" ref="P6:P7" si="7">SUM(C6:E6)</f>
        <v>0</v>
      </c>
      <c r="Q6" s="31">
        <f t="shared" ref="Q6:Q7" si="8">SUM(F6:H6)</f>
        <v>0</v>
      </c>
      <c r="R6" s="31">
        <f t="shared" ref="R6:R7" si="9">SUM(I6:K6)</f>
        <v>0</v>
      </c>
      <c r="S6" s="31">
        <f t="shared" ref="S6:S7" si="10">SUM(L6:N6)</f>
        <v>0</v>
      </c>
    </row>
    <row r="7" spans="1:19">
      <c r="A7" s="31" t="s">
        <v>354</v>
      </c>
      <c r="B7" s="31" t="s">
        <v>92</v>
      </c>
      <c r="C7" s="88">
        <f>1100-442</f>
        <v>658</v>
      </c>
      <c r="D7" s="88">
        <v>1198</v>
      </c>
      <c r="E7" s="88">
        <f>1525-446</f>
        <v>1079</v>
      </c>
      <c r="F7" s="88">
        <f>1814-522</f>
        <v>1292</v>
      </c>
      <c r="G7" s="88">
        <f>1275-644</f>
        <v>631</v>
      </c>
      <c r="H7" s="88">
        <f>2199-675</f>
        <v>1524</v>
      </c>
      <c r="I7" s="88">
        <v>2083</v>
      </c>
      <c r="J7" s="88">
        <f>2249-663</f>
        <v>1586</v>
      </c>
      <c r="K7" s="88">
        <v>1369</v>
      </c>
      <c r="L7" s="88">
        <v>1289</v>
      </c>
      <c r="M7" s="88">
        <f>2342-616</f>
        <v>1726</v>
      </c>
      <c r="N7" s="88">
        <v>1064</v>
      </c>
      <c r="O7" s="80">
        <f>SUM(C7:N7)</f>
        <v>15499</v>
      </c>
      <c r="P7" s="31">
        <f t="shared" si="7"/>
        <v>2935</v>
      </c>
      <c r="Q7" s="31">
        <f t="shared" si="8"/>
        <v>3447</v>
      </c>
      <c r="R7" s="31">
        <f t="shared" si="9"/>
        <v>5038</v>
      </c>
      <c r="S7" s="31">
        <f t="shared" si="10"/>
        <v>4079</v>
      </c>
    </row>
    <row r="8" spans="1:19">
      <c r="A8" s="31" t="s">
        <v>327</v>
      </c>
      <c r="B8" s="31" t="s">
        <v>92</v>
      </c>
      <c r="C8" s="68">
        <f>C3+C6+C7</f>
        <v>5645</v>
      </c>
      <c r="D8" s="68">
        <f t="shared" ref="D8:N8" si="11">D3+D6+D7</f>
        <v>4256</v>
      </c>
      <c r="E8" s="68">
        <f t="shared" si="11"/>
        <v>7754</v>
      </c>
      <c r="F8" s="68">
        <f t="shared" si="11"/>
        <v>7684</v>
      </c>
      <c r="G8" s="68">
        <f t="shared" si="11"/>
        <v>7024</v>
      </c>
      <c r="H8" s="68">
        <f t="shared" si="11"/>
        <v>7778</v>
      </c>
      <c r="I8" s="68">
        <f t="shared" si="11"/>
        <v>9017</v>
      </c>
      <c r="J8" s="68">
        <f t="shared" si="11"/>
        <v>7827</v>
      </c>
      <c r="K8" s="68">
        <f t="shared" si="11"/>
        <v>6807</v>
      </c>
      <c r="L8" s="68">
        <f t="shared" si="11"/>
        <v>7370</v>
      </c>
      <c r="M8" s="68">
        <f t="shared" si="11"/>
        <v>8467</v>
      </c>
      <c r="N8" s="68">
        <f t="shared" si="11"/>
        <v>8958</v>
      </c>
      <c r="O8" s="68">
        <f t="shared" ref="O8:S8" si="12">O3+O6+O7</f>
        <v>88587</v>
      </c>
      <c r="P8" s="68">
        <f t="shared" si="12"/>
        <v>17655</v>
      </c>
      <c r="Q8" s="68">
        <f t="shared" si="12"/>
        <v>22486</v>
      </c>
      <c r="R8" s="68">
        <f t="shared" si="12"/>
        <v>23651</v>
      </c>
      <c r="S8" s="68">
        <f t="shared" si="12"/>
        <v>24795</v>
      </c>
    </row>
    <row r="9" spans="1:19">
      <c r="A9" s="31" t="s">
        <v>328</v>
      </c>
      <c r="B9" s="31" t="s">
        <v>92</v>
      </c>
      <c r="C9" s="68">
        <f>C4</f>
        <v>0</v>
      </c>
      <c r="D9" s="68">
        <f t="shared" ref="D9:L9" si="13">D4</f>
        <v>0</v>
      </c>
      <c r="E9" s="68">
        <f t="shared" si="13"/>
        <v>0</v>
      </c>
      <c r="F9" s="68">
        <f t="shared" si="13"/>
        <v>0</v>
      </c>
      <c r="G9" s="68">
        <f t="shared" si="13"/>
        <v>0</v>
      </c>
      <c r="H9" s="68">
        <f t="shared" si="13"/>
        <v>0</v>
      </c>
      <c r="I9" s="68">
        <f t="shared" si="13"/>
        <v>0</v>
      </c>
      <c r="J9" s="68">
        <f t="shared" si="13"/>
        <v>0</v>
      </c>
      <c r="K9" s="68">
        <f t="shared" si="13"/>
        <v>0</v>
      </c>
      <c r="L9" s="68">
        <f t="shared" si="13"/>
        <v>0</v>
      </c>
      <c r="M9" s="68">
        <v>0</v>
      </c>
      <c r="N9" s="68">
        <v>0</v>
      </c>
      <c r="O9" s="68">
        <f t="shared" ref="O9:S9" si="14">O4</f>
        <v>0</v>
      </c>
      <c r="P9" s="68">
        <f t="shared" si="14"/>
        <v>0</v>
      </c>
      <c r="Q9" s="68">
        <f t="shared" si="14"/>
        <v>0</v>
      </c>
      <c r="R9" s="68">
        <f t="shared" si="14"/>
        <v>0</v>
      </c>
      <c r="S9" s="68">
        <f t="shared" si="14"/>
        <v>0</v>
      </c>
    </row>
    <row r="10" spans="1:19">
      <c r="A10" s="31" t="s">
        <v>326</v>
      </c>
      <c r="B10" s="31" t="s">
        <v>92</v>
      </c>
      <c r="C10" s="68">
        <f>SUM(C8:C9)</f>
        <v>5645</v>
      </c>
      <c r="D10" s="68">
        <f t="shared" ref="D10:S10" si="15">SUM(D8:D9)</f>
        <v>4256</v>
      </c>
      <c r="E10" s="68">
        <f t="shared" si="15"/>
        <v>7754</v>
      </c>
      <c r="F10" s="68">
        <f t="shared" si="15"/>
        <v>7684</v>
      </c>
      <c r="G10" s="68">
        <f t="shared" si="15"/>
        <v>7024</v>
      </c>
      <c r="H10" s="68">
        <f t="shared" si="15"/>
        <v>7778</v>
      </c>
      <c r="I10" s="68">
        <f t="shared" si="15"/>
        <v>9017</v>
      </c>
      <c r="J10" s="68">
        <f t="shared" si="15"/>
        <v>7827</v>
      </c>
      <c r="K10" s="68">
        <f t="shared" si="15"/>
        <v>6807</v>
      </c>
      <c r="L10" s="68">
        <f t="shared" si="15"/>
        <v>7370</v>
      </c>
      <c r="M10" s="68">
        <f t="shared" si="15"/>
        <v>8467</v>
      </c>
      <c r="N10" s="68">
        <f t="shared" si="15"/>
        <v>8958</v>
      </c>
      <c r="O10" s="68">
        <f t="shared" si="15"/>
        <v>88587</v>
      </c>
      <c r="P10" s="68">
        <f t="shared" si="15"/>
        <v>17655</v>
      </c>
      <c r="Q10" s="68">
        <f t="shared" si="15"/>
        <v>22486</v>
      </c>
      <c r="R10" s="68">
        <f t="shared" si="15"/>
        <v>23651</v>
      </c>
      <c r="S10" s="68">
        <f t="shared" si="15"/>
        <v>24795</v>
      </c>
    </row>
    <row r="11" spans="1:19" s="34" customFormat="1">
      <c r="A11" s="33" t="s">
        <v>330</v>
      </c>
      <c r="B11" s="33" t="s">
        <v>93</v>
      </c>
      <c r="C11" s="47">
        <f>Water!C8/'Production, Raw Mat'!C$3</f>
        <v>0.58741316665020793</v>
      </c>
      <c r="D11" s="47">
        <f>D8/'Production, Raw Mat'!D$3</f>
        <v>0.67447629356344052</v>
      </c>
      <c r="E11" s="47">
        <f>E8/'Production, Raw Mat'!E$3</f>
        <v>0.4372645126084167</v>
      </c>
      <c r="F11" s="47">
        <f>F8/'Production, Raw Mat'!F$3</f>
        <v>0.48646903945647668</v>
      </c>
      <c r="G11" s="47">
        <f>G8/'Production, Raw Mat'!G$3</f>
        <v>0.43649561278719362</v>
      </c>
      <c r="H11" s="47">
        <f>H8/'Production, Raw Mat'!H$3</f>
        <v>0.47403659766093076</v>
      </c>
      <c r="I11" s="47">
        <f>I8/'Production, Raw Mat'!I$3</f>
        <v>0.48861177984062892</v>
      </c>
      <c r="J11" s="47">
        <f>J8/'Production, Raw Mat'!J$3</f>
        <v>0.48375641965933208</v>
      </c>
      <c r="K11" s="47">
        <f>K8/'Production, Raw Mat'!K$3</f>
        <v>0.56085807038715618</v>
      </c>
      <c r="L11" s="47">
        <f>L8/'Production, Raw Mat'!L$3</f>
        <v>0.59126304716918299</v>
      </c>
      <c r="M11" s="47">
        <f>M8/'Production, Raw Mat'!M$3</f>
        <v>0.68702531673686695</v>
      </c>
      <c r="N11" s="47">
        <f>N8/'Production, Raw Mat'!N$3</f>
        <v>0.57495798702679202</v>
      </c>
      <c r="O11" s="47">
        <f>O8/[1]Product!O4</f>
        <v>885.87</v>
      </c>
      <c r="P11" s="47">
        <f>P8/[1]Product!P4</f>
        <v>176.55</v>
      </c>
      <c r="Q11" s="47" t="e">
        <f>Q8/[1]Product!Q4</f>
        <v>#DIV/0!</v>
      </c>
      <c r="R11" s="47" t="e">
        <f>R8/[1]Product!R4</f>
        <v>#DIV/0!</v>
      </c>
      <c r="S11" s="47" t="e">
        <f>S8/[1]Product!S4</f>
        <v>#DIV/0!</v>
      </c>
    </row>
    <row r="12" spans="1:19" s="34" customFormat="1">
      <c r="A12" s="33" t="s">
        <v>331</v>
      </c>
      <c r="B12" s="33" t="s">
        <v>93</v>
      </c>
      <c r="C12" s="47" t="e">
        <f>Water!C9/'Production, Raw Mat'!C$4</f>
        <v>#DIV/0!</v>
      </c>
      <c r="D12" s="47" t="e">
        <f>Water!D9/'Production, Raw Mat'!D$4</f>
        <v>#DIV/0!</v>
      </c>
      <c r="E12" s="47" t="e">
        <f>Water!E9/'Production, Raw Mat'!E$4</f>
        <v>#DIV/0!</v>
      </c>
      <c r="F12" s="47" t="e">
        <f>Water!F9/'Production, Raw Mat'!F$4</f>
        <v>#DIV/0!</v>
      </c>
      <c r="G12" s="47" t="e">
        <f>Water!G9/'Production, Raw Mat'!G$4</f>
        <v>#DIV/0!</v>
      </c>
      <c r="H12" s="47" t="e">
        <f>Water!H9/'Production, Raw Mat'!H$4</f>
        <v>#DIV/0!</v>
      </c>
      <c r="I12" s="47" t="e">
        <f>Water!I9/'Production, Raw Mat'!I$4</f>
        <v>#DIV/0!</v>
      </c>
      <c r="J12" s="47" t="e">
        <f>Water!J9/'Production, Raw Mat'!J$4</f>
        <v>#DIV/0!</v>
      </c>
      <c r="K12" s="47" t="e">
        <f>Water!K9/'Production, Raw Mat'!K$4</f>
        <v>#DIV/0!</v>
      </c>
      <c r="L12" s="47" t="e">
        <f>Water!L9/'Production, Raw Mat'!L$4</f>
        <v>#DIV/0!</v>
      </c>
      <c r="M12" s="47" t="e">
        <f>Water!M9/'Production, Raw Mat'!M$4</f>
        <v>#DIV/0!</v>
      </c>
      <c r="N12" s="47">
        <f>Water!N9/'Production, Raw Mat'!N$4</f>
        <v>0</v>
      </c>
      <c r="O12" s="47">
        <f>Water!O9/'Production, Raw Mat'!O$4</f>
        <v>0</v>
      </c>
      <c r="P12" s="47" t="e">
        <f>Water!P9/'Production, Raw Mat'!P$4</f>
        <v>#DIV/0!</v>
      </c>
      <c r="Q12" s="47" t="e">
        <f>Water!Q9/'Production, Raw Mat'!Q$4</f>
        <v>#DIV/0!</v>
      </c>
      <c r="R12" s="47" t="e">
        <f>Water!R9/'Production, Raw Mat'!R$4</f>
        <v>#DIV/0!</v>
      </c>
      <c r="S12" s="47">
        <f>Water!S9/'Production, Raw Mat'!S$4</f>
        <v>0</v>
      </c>
    </row>
    <row r="13" spans="1:19" s="34" customFormat="1">
      <c r="A13" s="33" t="s">
        <v>329</v>
      </c>
      <c r="B13" s="33" t="s">
        <v>93</v>
      </c>
      <c r="C13" s="47">
        <f>Water!C10/'Production, Raw Mat'!C$5</f>
        <v>0.58741316665020793</v>
      </c>
      <c r="D13" s="47">
        <f>Water!D10/'Production, Raw Mat'!D$5</f>
        <v>0.67447629356344052</v>
      </c>
      <c r="E13" s="47">
        <f>Water!E10/'Production, Raw Mat'!E$5</f>
        <v>0.4372645126084167</v>
      </c>
      <c r="F13" s="47">
        <f>Water!F10/'Production, Raw Mat'!F$5</f>
        <v>0.48646903945647668</v>
      </c>
      <c r="G13" s="47">
        <f>Water!G10/'Production, Raw Mat'!G$5</f>
        <v>0.43649561278719362</v>
      </c>
      <c r="H13" s="47">
        <f>Water!H10/'Production, Raw Mat'!H$5</f>
        <v>0.47403659766093076</v>
      </c>
      <c r="I13" s="47">
        <f>Water!I10/'Production, Raw Mat'!I$5</f>
        <v>0.48861177984062892</v>
      </c>
      <c r="J13" s="47">
        <f>Water!J10/'Production, Raw Mat'!J$5</f>
        <v>0.48375641965933208</v>
      </c>
      <c r="K13" s="47">
        <f>Water!K10/'Production, Raw Mat'!K$5</f>
        <v>0.56085807038715618</v>
      </c>
      <c r="L13" s="47">
        <f>Water!L10/'Production, Raw Mat'!L$5</f>
        <v>0.59126304716918299</v>
      </c>
      <c r="M13" s="47">
        <f>Water!M10/'Production, Raw Mat'!M$5</f>
        <v>0.68702531673686695</v>
      </c>
      <c r="N13" s="47">
        <f>Water!N10/'Production, Raw Mat'!N$5</f>
        <v>0.55973729681198559</v>
      </c>
      <c r="O13" s="47">
        <f>Water!O10/'Production, Raw Mat'!O$5</f>
        <v>0.52260049738710124</v>
      </c>
      <c r="P13" s="47">
        <f>Water!P10/'Production, Raw Mat'!P$5</f>
        <v>0.5246191323043804</v>
      </c>
      <c r="Q13" s="47">
        <f>Water!Q10/'Production, Raw Mat'!Q$5</f>
        <v>0.46559424038680286</v>
      </c>
      <c r="R13" s="47">
        <f>Water!R10/'Production, Raw Mat'!R$5</f>
        <v>0.50567968212108427</v>
      </c>
      <c r="S13" s="47">
        <f>Water!S10/'Production, Raw Mat'!S$5</f>
        <v>0.60782601938898906</v>
      </c>
    </row>
    <row r="15" spans="1:19" s="30" customFormat="1">
      <c r="A15" s="29" t="s">
        <v>95</v>
      </c>
      <c r="B15" s="29" t="s">
        <v>73</v>
      </c>
      <c r="C15" s="29" t="s">
        <v>74</v>
      </c>
      <c r="D15" s="29" t="s">
        <v>75</v>
      </c>
      <c r="E15" s="29" t="s">
        <v>76</v>
      </c>
      <c r="F15" s="29" t="s">
        <v>77</v>
      </c>
      <c r="G15" s="29" t="s">
        <v>78</v>
      </c>
      <c r="H15" s="29" t="s">
        <v>79</v>
      </c>
      <c r="I15" s="29" t="s">
        <v>80</v>
      </c>
      <c r="J15" s="29" t="s">
        <v>81</v>
      </c>
      <c r="K15" s="29" t="s">
        <v>82</v>
      </c>
      <c r="L15" s="29" t="s">
        <v>83</v>
      </c>
      <c r="M15" s="29" t="s">
        <v>84</v>
      </c>
      <c r="N15" s="29" t="s">
        <v>85</v>
      </c>
      <c r="O15" s="29" t="s">
        <v>86</v>
      </c>
      <c r="P15" s="29" t="s">
        <v>87</v>
      </c>
      <c r="Q15" s="29" t="s">
        <v>88</v>
      </c>
      <c r="R15" s="29" t="s">
        <v>89</v>
      </c>
      <c r="S15" s="29" t="s">
        <v>90</v>
      </c>
    </row>
    <row r="16" spans="1:19">
      <c r="A16" s="31" t="s">
        <v>259</v>
      </c>
      <c r="B16" s="31" t="s">
        <v>92</v>
      </c>
      <c r="C16" s="89">
        <f>2597+450</f>
        <v>3047</v>
      </c>
      <c r="D16" s="88">
        <f>1561+578</f>
        <v>2139</v>
      </c>
      <c r="E16" s="88">
        <f>5295+374</f>
        <v>5669</v>
      </c>
      <c r="F16" s="88">
        <v>5231</v>
      </c>
      <c r="G16" s="88">
        <f>4072+381</f>
        <v>4453</v>
      </c>
      <c r="H16" s="88">
        <f>3740+505</f>
        <v>4245</v>
      </c>
      <c r="I16" s="88">
        <v>6172</v>
      </c>
      <c r="J16" s="88">
        <v>5372</v>
      </c>
      <c r="K16" s="88">
        <v>4704</v>
      </c>
      <c r="L16" s="88">
        <f>4212+340</f>
        <v>4552</v>
      </c>
      <c r="M16" s="88">
        <f>4812+375</f>
        <v>5187</v>
      </c>
      <c r="N16" s="88">
        <f>4983+409</f>
        <v>5392</v>
      </c>
      <c r="O16" s="80"/>
      <c r="P16" s="31">
        <f>SUM(C16:E16)</f>
        <v>10855</v>
      </c>
      <c r="Q16" s="31">
        <f>SUM(F16:H16)</f>
        <v>13929</v>
      </c>
      <c r="R16" s="31">
        <f>SUM(I16:K16)</f>
        <v>16248</v>
      </c>
      <c r="S16" s="31">
        <f>SUM(L16:N16)</f>
        <v>15131</v>
      </c>
    </row>
    <row r="18" spans="1:15">
      <c r="A18" s="164" t="s">
        <v>402</v>
      </c>
      <c r="D18" s="166"/>
      <c r="E18" s="166"/>
      <c r="F18" s="166"/>
      <c r="G18" s="166"/>
      <c r="H18" s="166"/>
      <c r="I18" s="166"/>
      <c r="J18" s="166"/>
      <c r="K18" s="166"/>
      <c r="L18" s="166"/>
      <c r="M18" s="166"/>
      <c r="N18" s="166"/>
      <c r="O18" s="166"/>
    </row>
    <row r="19" spans="1:15">
      <c r="D19" s="167"/>
      <c r="E19" s="167"/>
      <c r="F19" s="167"/>
      <c r="G19" s="167"/>
      <c r="H19" s="167"/>
      <c r="I19" s="167"/>
      <c r="J19" s="167"/>
      <c r="K19" s="167"/>
      <c r="L19" s="167"/>
      <c r="M19" s="167"/>
      <c r="N19" s="167"/>
      <c r="O19" s="167"/>
    </row>
    <row r="20" spans="1:15" hidden="1">
      <c r="A20" s="164" t="s">
        <v>402</v>
      </c>
      <c r="D20" s="165" t="s">
        <v>74</v>
      </c>
      <c r="E20" s="165" t="s">
        <v>75</v>
      </c>
      <c r="F20" s="165" t="s">
        <v>76</v>
      </c>
      <c r="G20" s="165" t="s">
        <v>77</v>
      </c>
      <c r="H20" s="165" t="s">
        <v>78</v>
      </c>
      <c r="I20" s="165" t="s">
        <v>79</v>
      </c>
      <c r="J20" s="165" t="s">
        <v>80</v>
      </c>
      <c r="K20" s="165" t="s">
        <v>81</v>
      </c>
      <c r="L20" s="165" t="s">
        <v>82</v>
      </c>
      <c r="M20" s="165" t="s">
        <v>83</v>
      </c>
      <c r="N20" s="165" t="s">
        <v>84</v>
      </c>
      <c r="O20" s="165" t="s">
        <v>85</v>
      </c>
    </row>
    <row r="21" spans="1:15" hidden="1">
      <c r="C21" s="32" t="s">
        <v>403</v>
      </c>
      <c r="D21" s="32">
        <v>12839</v>
      </c>
      <c r="E21" s="32">
        <v>6903</v>
      </c>
      <c r="F21" s="32">
        <v>9043</v>
      </c>
      <c r="G21" s="32">
        <v>11134</v>
      </c>
      <c r="H21" s="32">
        <v>14106</v>
      </c>
      <c r="I21" s="32">
        <v>13676</v>
      </c>
      <c r="J21" s="32">
        <v>13709</v>
      </c>
      <c r="K21" s="32">
        <v>12091</v>
      </c>
      <c r="L21" s="32">
        <v>12437</v>
      </c>
      <c r="M21" s="32">
        <v>10166</v>
      </c>
      <c r="N21" s="32">
        <v>12485</v>
      </c>
      <c r="O21" s="32">
        <v>0</v>
      </c>
    </row>
    <row r="22" spans="1:15" hidden="1">
      <c r="C22" s="32" t="s">
        <v>259</v>
      </c>
      <c r="D22" s="32">
        <v>4254</v>
      </c>
      <c r="E22" s="32">
        <v>1350</v>
      </c>
      <c r="F22" s="32">
        <v>4198</v>
      </c>
      <c r="G22" s="32">
        <v>4986</v>
      </c>
      <c r="H22" s="32">
        <v>5449</v>
      </c>
      <c r="I22" s="32">
        <v>4655</v>
      </c>
      <c r="J22" s="32">
        <v>4177</v>
      </c>
      <c r="K22" s="32">
        <v>5816</v>
      </c>
      <c r="L22" s="32">
        <v>5681</v>
      </c>
      <c r="M22" s="32">
        <v>5544</v>
      </c>
      <c r="N22" s="32">
        <v>4951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00B0F0"/>
  </sheetPr>
  <dimension ref="A2:BO32"/>
  <sheetViews>
    <sheetView topLeftCell="A2" zoomScale="80" zoomScaleNormal="80" workbookViewId="0">
      <pane xSplit="1" ySplit="1" topLeftCell="AI6" activePane="bottomRight" state="frozen"/>
      <selection activeCell="A2" sqref="A2"/>
      <selection pane="topRight" activeCell="B2" sqref="B2"/>
      <selection pane="bottomLeft" activeCell="A3" sqref="A3"/>
      <selection pane="bottomRight" activeCell="BF15" sqref="BF15"/>
    </sheetView>
  </sheetViews>
  <sheetFormatPr defaultColWidth="8.7109375" defaultRowHeight="12"/>
  <cols>
    <col min="1" max="1" width="42.42578125" style="54" customWidth="1"/>
    <col min="2" max="2" width="7.140625" style="54" customWidth="1"/>
    <col min="3" max="3" width="8.42578125" style="54" customWidth="1"/>
    <col min="4" max="7" width="7.140625" style="54" customWidth="1"/>
    <col min="8" max="8" width="8.140625" style="54" customWidth="1"/>
    <col min="9" max="22" width="7.140625" style="54" customWidth="1"/>
    <col min="23" max="23" width="8.85546875" style="54" customWidth="1"/>
    <col min="24" max="63" width="7.140625" style="54" customWidth="1"/>
    <col min="64" max="64" width="9.7109375" style="54" customWidth="1"/>
    <col min="65" max="16384" width="8.7109375" style="54"/>
  </cols>
  <sheetData>
    <row r="2" spans="1:67" s="90" customFormat="1" ht="21.75" customHeight="1">
      <c r="A2" s="241" t="s">
        <v>264</v>
      </c>
      <c r="B2" s="236" t="s">
        <v>153</v>
      </c>
      <c r="C2" s="236"/>
      <c r="D2" s="236"/>
      <c r="E2" s="236"/>
      <c r="F2" s="236"/>
      <c r="G2" s="236" t="s">
        <v>154</v>
      </c>
      <c r="H2" s="236"/>
      <c r="I2" s="236"/>
      <c r="J2" s="236"/>
      <c r="K2" s="236"/>
      <c r="L2" s="236" t="s">
        <v>155</v>
      </c>
      <c r="M2" s="236"/>
      <c r="N2" s="236"/>
      <c r="O2" s="236"/>
      <c r="P2" s="236"/>
      <c r="Q2" s="236" t="s">
        <v>156</v>
      </c>
      <c r="R2" s="236"/>
      <c r="S2" s="236"/>
      <c r="T2" s="236"/>
      <c r="U2" s="236"/>
      <c r="V2" s="236" t="s">
        <v>157</v>
      </c>
      <c r="W2" s="236"/>
      <c r="X2" s="236"/>
      <c r="Y2" s="236"/>
      <c r="Z2" s="236"/>
      <c r="AA2" s="236" t="s">
        <v>158</v>
      </c>
      <c r="AB2" s="236"/>
      <c r="AC2" s="236"/>
      <c r="AD2" s="236"/>
      <c r="AE2" s="236"/>
      <c r="AF2" s="236" t="s">
        <v>159</v>
      </c>
      <c r="AG2" s="236"/>
      <c r="AH2" s="236"/>
      <c r="AI2" s="236"/>
      <c r="AJ2" s="236"/>
      <c r="AK2" s="236" t="s">
        <v>160</v>
      </c>
      <c r="AL2" s="236"/>
      <c r="AM2" s="236"/>
      <c r="AN2" s="236"/>
      <c r="AO2" s="236"/>
      <c r="AP2" s="236" t="s">
        <v>161</v>
      </c>
      <c r="AQ2" s="236"/>
      <c r="AR2" s="236"/>
      <c r="AS2" s="236"/>
      <c r="AT2" s="236"/>
      <c r="AU2" s="236" t="s">
        <v>162</v>
      </c>
      <c r="AV2" s="236"/>
      <c r="AW2" s="236"/>
      <c r="AX2" s="236"/>
      <c r="AY2" s="236"/>
      <c r="AZ2" s="236" t="s">
        <v>163</v>
      </c>
      <c r="BA2" s="236"/>
      <c r="BB2" s="236"/>
      <c r="BC2" s="236"/>
      <c r="BD2" s="236"/>
      <c r="BE2" s="248" t="s">
        <v>164</v>
      </c>
      <c r="BF2" s="249"/>
      <c r="BG2" s="249"/>
      <c r="BH2" s="249"/>
      <c r="BI2" s="249"/>
      <c r="BJ2" s="249"/>
      <c r="BK2" s="249"/>
      <c r="BL2" s="250"/>
      <c r="BM2" s="245" t="s">
        <v>408</v>
      </c>
      <c r="BN2" s="245"/>
    </row>
    <row r="3" spans="1:67" s="90" customFormat="1" ht="33" customHeight="1">
      <c r="A3" s="241"/>
      <c r="B3" s="237" t="s">
        <v>260</v>
      </c>
      <c r="C3" s="238" t="s">
        <v>276</v>
      </c>
      <c r="D3" s="239" t="s">
        <v>201</v>
      </c>
      <c r="E3" s="239"/>
      <c r="F3" s="239"/>
      <c r="G3" s="237" t="s">
        <v>260</v>
      </c>
      <c r="H3" s="238" t="s">
        <v>276</v>
      </c>
      <c r="I3" s="239" t="s">
        <v>201</v>
      </c>
      <c r="J3" s="239"/>
      <c r="K3" s="239"/>
      <c r="L3" s="237" t="s">
        <v>260</v>
      </c>
      <c r="M3" s="238" t="s">
        <v>276</v>
      </c>
      <c r="N3" s="239" t="s">
        <v>201</v>
      </c>
      <c r="O3" s="239"/>
      <c r="P3" s="239"/>
      <c r="Q3" s="237" t="s">
        <v>260</v>
      </c>
      <c r="R3" s="238" t="s">
        <v>276</v>
      </c>
      <c r="S3" s="239" t="s">
        <v>201</v>
      </c>
      <c r="T3" s="239"/>
      <c r="U3" s="239"/>
      <c r="V3" s="237" t="s">
        <v>260</v>
      </c>
      <c r="W3" s="238" t="s">
        <v>276</v>
      </c>
      <c r="X3" s="239" t="s">
        <v>201</v>
      </c>
      <c r="Y3" s="239"/>
      <c r="Z3" s="239"/>
      <c r="AA3" s="237" t="s">
        <v>260</v>
      </c>
      <c r="AB3" s="238" t="s">
        <v>276</v>
      </c>
      <c r="AC3" s="239" t="s">
        <v>201</v>
      </c>
      <c r="AD3" s="239"/>
      <c r="AE3" s="239"/>
      <c r="AF3" s="237" t="s">
        <v>260</v>
      </c>
      <c r="AG3" s="238" t="s">
        <v>276</v>
      </c>
      <c r="AH3" s="239" t="s">
        <v>201</v>
      </c>
      <c r="AI3" s="239"/>
      <c r="AJ3" s="239"/>
      <c r="AK3" s="237" t="s">
        <v>260</v>
      </c>
      <c r="AL3" s="238" t="s">
        <v>276</v>
      </c>
      <c r="AM3" s="239" t="s">
        <v>201</v>
      </c>
      <c r="AN3" s="239"/>
      <c r="AO3" s="239"/>
      <c r="AP3" s="237" t="s">
        <v>260</v>
      </c>
      <c r="AQ3" s="238" t="s">
        <v>276</v>
      </c>
      <c r="AR3" s="239" t="s">
        <v>201</v>
      </c>
      <c r="AS3" s="239"/>
      <c r="AT3" s="239"/>
      <c r="AU3" s="237" t="s">
        <v>260</v>
      </c>
      <c r="AV3" s="238" t="s">
        <v>276</v>
      </c>
      <c r="AW3" s="239" t="s">
        <v>201</v>
      </c>
      <c r="AX3" s="239"/>
      <c r="AY3" s="239"/>
      <c r="AZ3" s="237" t="s">
        <v>260</v>
      </c>
      <c r="BA3" s="238" t="s">
        <v>276</v>
      </c>
      <c r="BB3" s="239" t="s">
        <v>201</v>
      </c>
      <c r="BC3" s="239"/>
      <c r="BD3" s="239"/>
      <c r="BE3" s="237" t="s">
        <v>260</v>
      </c>
      <c r="BF3" s="238" t="s">
        <v>276</v>
      </c>
      <c r="BG3" s="239" t="s">
        <v>201</v>
      </c>
      <c r="BH3" s="239"/>
      <c r="BI3" s="239"/>
      <c r="BJ3" s="237" t="s">
        <v>204</v>
      </c>
      <c r="BK3" s="238" t="s">
        <v>203</v>
      </c>
      <c r="BL3" s="237" t="s">
        <v>205</v>
      </c>
      <c r="BM3" s="246" t="s">
        <v>409</v>
      </c>
      <c r="BN3" s="247" t="s">
        <v>410</v>
      </c>
    </row>
    <row r="4" spans="1:67" ht="154.5" customHeight="1">
      <c r="A4" s="241"/>
      <c r="B4" s="237"/>
      <c r="C4" s="238"/>
      <c r="D4" s="91" t="s">
        <v>261</v>
      </c>
      <c r="E4" s="91" t="s">
        <v>262</v>
      </c>
      <c r="F4" s="91" t="s">
        <v>263</v>
      </c>
      <c r="G4" s="237"/>
      <c r="H4" s="238"/>
      <c r="I4" s="91" t="s">
        <v>261</v>
      </c>
      <c r="J4" s="91" t="s">
        <v>262</v>
      </c>
      <c r="K4" s="91" t="s">
        <v>263</v>
      </c>
      <c r="L4" s="237"/>
      <c r="M4" s="238"/>
      <c r="N4" s="91" t="s">
        <v>261</v>
      </c>
      <c r="O4" s="91" t="s">
        <v>262</v>
      </c>
      <c r="P4" s="91" t="s">
        <v>263</v>
      </c>
      <c r="Q4" s="237"/>
      <c r="R4" s="238"/>
      <c r="S4" s="91" t="s">
        <v>261</v>
      </c>
      <c r="T4" s="91" t="s">
        <v>262</v>
      </c>
      <c r="U4" s="91" t="s">
        <v>263</v>
      </c>
      <c r="V4" s="237"/>
      <c r="W4" s="238"/>
      <c r="X4" s="91" t="s">
        <v>261</v>
      </c>
      <c r="Y4" s="91" t="s">
        <v>262</v>
      </c>
      <c r="Z4" s="91" t="s">
        <v>263</v>
      </c>
      <c r="AA4" s="237"/>
      <c r="AB4" s="238"/>
      <c r="AC4" s="91" t="s">
        <v>261</v>
      </c>
      <c r="AD4" s="91" t="s">
        <v>262</v>
      </c>
      <c r="AE4" s="91" t="s">
        <v>263</v>
      </c>
      <c r="AF4" s="237"/>
      <c r="AG4" s="238"/>
      <c r="AH4" s="91" t="s">
        <v>261</v>
      </c>
      <c r="AI4" s="91" t="s">
        <v>262</v>
      </c>
      <c r="AJ4" s="91" t="s">
        <v>263</v>
      </c>
      <c r="AK4" s="237"/>
      <c r="AL4" s="238"/>
      <c r="AM4" s="91" t="s">
        <v>261</v>
      </c>
      <c r="AN4" s="91" t="s">
        <v>262</v>
      </c>
      <c r="AO4" s="91" t="s">
        <v>263</v>
      </c>
      <c r="AP4" s="237"/>
      <c r="AQ4" s="238"/>
      <c r="AR4" s="91" t="s">
        <v>261</v>
      </c>
      <c r="AS4" s="91" t="s">
        <v>262</v>
      </c>
      <c r="AT4" s="91" t="s">
        <v>263</v>
      </c>
      <c r="AU4" s="237"/>
      <c r="AV4" s="238"/>
      <c r="AW4" s="91" t="s">
        <v>261</v>
      </c>
      <c r="AX4" s="91" t="s">
        <v>262</v>
      </c>
      <c r="AY4" s="91" t="s">
        <v>263</v>
      </c>
      <c r="AZ4" s="237"/>
      <c r="BA4" s="238"/>
      <c r="BB4" s="91" t="s">
        <v>261</v>
      </c>
      <c r="BC4" s="91" t="s">
        <v>262</v>
      </c>
      <c r="BD4" s="91" t="s">
        <v>263</v>
      </c>
      <c r="BE4" s="237"/>
      <c r="BF4" s="238"/>
      <c r="BG4" s="91" t="s">
        <v>261</v>
      </c>
      <c r="BH4" s="91" t="s">
        <v>262</v>
      </c>
      <c r="BI4" s="91" t="s">
        <v>263</v>
      </c>
      <c r="BJ4" s="237"/>
      <c r="BK4" s="238"/>
      <c r="BL4" s="237"/>
      <c r="BM4" s="246"/>
      <c r="BN4" s="247"/>
    </row>
    <row r="5" spans="1:67" s="73" customFormat="1" ht="30" customHeight="1">
      <c r="A5" s="92" t="s">
        <v>293</v>
      </c>
      <c r="B5" s="93">
        <v>0.34719999999999973</v>
      </c>
      <c r="C5" s="94">
        <v>0.03</v>
      </c>
      <c r="D5" s="70"/>
      <c r="E5" s="70"/>
      <c r="F5" s="70"/>
      <c r="G5" s="72">
        <f t="shared" ref="G5:G11" si="0">(B5+C5)-(D5+E5+F5)</f>
        <v>0.37719999999999976</v>
      </c>
      <c r="H5" s="69">
        <v>0.40420000000000006</v>
      </c>
      <c r="I5" s="69"/>
      <c r="J5" s="69"/>
      <c r="K5" s="69"/>
      <c r="L5" s="72">
        <f t="shared" ref="L5:L11" si="1">(G5+H5)-(I5+J5+K5)</f>
        <v>0.78139999999999987</v>
      </c>
      <c r="M5" s="72">
        <v>0.32019999999999998</v>
      </c>
      <c r="N5" s="74"/>
      <c r="O5" s="74"/>
      <c r="P5" s="74"/>
      <c r="Q5" s="72">
        <f t="shared" ref="Q5:Q11" si="2">(L5+M5)-(N5+O5+P5)</f>
        <v>1.1015999999999999</v>
      </c>
      <c r="R5" s="72">
        <v>0.20310000000000003</v>
      </c>
      <c r="S5" s="72"/>
      <c r="T5" s="72"/>
      <c r="U5" s="72"/>
      <c r="V5" s="72">
        <f t="shared" ref="V5:V11" si="3">(Q5+R5)-(S5+T5+U5)</f>
        <v>1.3047</v>
      </c>
      <c r="W5" s="70">
        <v>0.114</v>
      </c>
      <c r="X5" s="70"/>
      <c r="Y5" s="72"/>
      <c r="Z5" s="72"/>
      <c r="AA5" s="72">
        <f t="shared" ref="AA5:AA11" si="4">(V5+W5)-(X5+Y5+Z5)</f>
        <v>1.4187000000000001</v>
      </c>
      <c r="AB5" s="72">
        <v>0.215</v>
      </c>
      <c r="AC5" s="72"/>
      <c r="AD5" s="72">
        <v>0.8</v>
      </c>
      <c r="AE5" s="72"/>
      <c r="AF5" s="72">
        <f t="shared" ref="AF5:AF11" si="5">(AA5+AB5)-(AC5+AD5+AE5)</f>
        <v>0.83370000000000011</v>
      </c>
      <c r="AG5" s="72">
        <v>0.14899999999999999</v>
      </c>
      <c r="AH5" s="74"/>
      <c r="AI5" s="74"/>
      <c r="AJ5" s="74"/>
      <c r="AK5" s="72">
        <f t="shared" ref="AK5:AK11" si="6">(AF5+AG5)-(AH5+AI5+AJ5)</f>
        <v>0.98270000000000013</v>
      </c>
      <c r="AL5" s="72">
        <v>0.19800000000000001</v>
      </c>
      <c r="AM5" s="72"/>
      <c r="AN5" s="72"/>
      <c r="AO5" s="72"/>
      <c r="AP5" s="72">
        <f t="shared" ref="AP5:AP11" si="7">(AK5+AL5)-(AM5+AN5+AO5)</f>
        <v>1.1807000000000001</v>
      </c>
      <c r="AQ5" s="72">
        <v>0.13600000000000001</v>
      </c>
      <c r="AR5" s="74"/>
      <c r="AS5" s="74"/>
      <c r="AT5" s="74"/>
      <c r="AU5" s="72">
        <f t="shared" ref="AU5:AU11" si="8">(AP5+AQ5)-(AR5+AS5+AT5)</f>
        <v>1.3167</v>
      </c>
      <c r="AV5" s="72">
        <v>0.1215</v>
      </c>
      <c r="AW5" s="72"/>
      <c r="AX5" s="72"/>
      <c r="AY5" s="72"/>
      <c r="AZ5" s="72">
        <f t="shared" ref="AZ5:AZ11" si="9">(AU5+AV5)-(AW5+AX5+AY5)</f>
        <v>1.4381999999999999</v>
      </c>
      <c r="BA5" s="72">
        <v>0.19</v>
      </c>
      <c r="BB5" s="72"/>
      <c r="BC5" s="72"/>
      <c r="BD5" s="72"/>
      <c r="BE5" s="72">
        <f t="shared" ref="BE5:BE11" si="10">(AZ5+BA5)-(BB5+BC5+BD5)</f>
        <v>1.6281999999999999</v>
      </c>
      <c r="BF5" s="72">
        <v>0.182</v>
      </c>
      <c r="BG5" s="74"/>
      <c r="BH5" s="74"/>
      <c r="BI5" s="74"/>
      <c r="BJ5" s="72">
        <f>(BE5+BF5)-(BG5+BH5+BI5)</f>
        <v>1.8101999999999998</v>
      </c>
      <c r="BK5" s="72"/>
      <c r="BL5" s="72">
        <f>(BG5+BH5+BI5)+BK5-BE5</f>
        <v>-1.6281999999999999</v>
      </c>
      <c r="BM5" s="178"/>
      <c r="BN5" s="178"/>
      <c r="BO5" s="73">
        <f>C5+H5+M5+R5+W5+AB5+AG5+AL5+AQ5+AV5+BA5+BF5</f>
        <v>2.2630000000000003</v>
      </c>
    </row>
    <row r="6" spans="1:67" ht="32.25" customHeight="1">
      <c r="A6" s="92" t="s">
        <v>294</v>
      </c>
      <c r="B6" s="93">
        <v>5.8525999999999989</v>
      </c>
      <c r="C6" s="94">
        <v>0</v>
      </c>
      <c r="D6" s="70"/>
      <c r="E6" s="70"/>
      <c r="F6" s="70"/>
      <c r="G6" s="72">
        <f t="shared" si="0"/>
        <v>5.8525999999999989</v>
      </c>
      <c r="H6" s="69">
        <v>6.0423999999999998</v>
      </c>
      <c r="I6" s="70"/>
      <c r="J6" s="70">
        <v>11.094999999999999</v>
      </c>
      <c r="K6" s="70"/>
      <c r="L6" s="211">
        <f t="shared" si="1"/>
        <v>0.80000000000000071</v>
      </c>
      <c r="M6" s="72">
        <v>2</v>
      </c>
      <c r="N6" s="53"/>
      <c r="O6" s="53"/>
      <c r="P6" s="53"/>
      <c r="Q6" s="52">
        <f t="shared" si="2"/>
        <v>2.8000000000000007</v>
      </c>
      <c r="R6" s="52">
        <v>0.2</v>
      </c>
      <c r="S6" s="52"/>
      <c r="T6" s="52"/>
      <c r="U6" s="52"/>
      <c r="V6" s="52">
        <f t="shared" si="3"/>
        <v>3.0000000000000009</v>
      </c>
      <c r="W6" s="70">
        <v>0</v>
      </c>
      <c r="X6" s="70"/>
      <c r="Y6" s="52"/>
      <c r="Z6" s="52"/>
      <c r="AA6" s="52">
        <f t="shared" si="4"/>
        <v>3.0000000000000009</v>
      </c>
      <c r="AB6" s="52">
        <v>1</v>
      </c>
      <c r="AC6" s="53"/>
      <c r="AD6" s="53"/>
      <c r="AE6" s="53"/>
      <c r="AF6" s="52">
        <f t="shared" si="5"/>
        <v>4.0000000000000009</v>
      </c>
      <c r="AG6" s="52">
        <v>0</v>
      </c>
      <c r="AH6" s="53"/>
      <c r="AI6" s="53"/>
      <c r="AJ6" s="53"/>
      <c r="AK6" s="52">
        <f t="shared" si="6"/>
        <v>4.0000000000000009</v>
      </c>
      <c r="AL6" s="72">
        <v>0.2</v>
      </c>
      <c r="AM6" s="52"/>
      <c r="AN6" s="52">
        <v>3.0619999999999998</v>
      </c>
      <c r="AO6" s="52"/>
      <c r="AP6" s="52">
        <f t="shared" si="7"/>
        <v>1.1380000000000012</v>
      </c>
      <c r="AQ6" s="52">
        <v>0</v>
      </c>
      <c r="AR6" s="53"/>
      <c r="AS6" s="53"/>
      <c r="AT6" s="53"/>
      <c r="AU6" s="52">
        <f t="shared" si="8"/>
        <v>1.1380000000000012</v>
      </c>
      <c r="AV6" s="72">
        <v>0.2</v>
      </c>
      <c r="AW6" s="52"/>
      <c r="AX6" s="52"/>
      <c r="AY6" s="52"/>
      <c r="AZ6" s="52">
        <f t="shared" si="9"/>
        <v>1.3380000000000012</v>
      </c>
      <c r="BA6" s="52">
        <v>0</v>
      </c>
      <c r="BB6" s="52"/>
      <c r="BC6" s="52"/>
      <c r="BD6" s="52"/>
      <c r="BE6" s="52">
        <f t="shared" si="10"/>
        <v>1.3380000000000012</v>
      </c>
      <c r="BF6" s="69">
        <v>1.7</v>
      </c>
      <c r="BG6" s="53"/>
      <c r="BH6" s="53"/>
      <c r="BI6" s="53"/>
      <c r="BJ6" s="52">
        <f t="shared" ref="BJ6:BJ11" si="11">(BE6+BF6)-(BG6+BH6+BI6)</f>
        <v>3.0380000000000011</v>
      </c>
      <c r="BK6" s="52"/>
      <c r="BL6" s="52">
        <f t="shared" ref="BL6:BL11" si="12">(BG6+BH6+BI6)+BK6-BE6</f>
        <v>-1.3380000000000012</v>
      </c>
      <c r="BM6" s="178"/>
      <c r="BN6" s="178"/>
      <c r="BO6" s="54">
        <f>BO5-BJ5</f>
        <v>0.45280000000000054</v>
      </c>
    </row>
    <row r="7" spans="1:67" ht="45.75" customHeight="1">
      <c r="A7" s="92" t="s">
        <v>356</v>
      </c>
      <c r="B7" s="93">
        <v>2.4129999999999994</v>
      </c>
      <c r="C7" s="94">
        <v>0.12809999999999999</v>
      </c>
      <c r="D7" s="70"/>
      <c r="E7" s="70"/>
      <c r="F7" s="70"/>
      <c r="G7" s="72">
        <f t="shared" si="0"/>
        <v>2.5410999999999992</v>
      </c>
      <c r="H7" s="69">
        <v>0.18660000000000002</v>
      </c>
      <c r="I7" s="70">
        <v>0.80500000000000005</v>
      </c>
      <c r="J7" s="70"/>
      <c r="K7" s="70"/>
      <c r="L7" s="72">
        <f t="shared" si="1"/>
        <v>1.922699999999999</v>
      </c>
      <c r="M7" s="72">
        <v>0.2339</v>
      </c>
      <c r="N7" s="52"/>
      <c r="O7" s="52"/>
      <c r="P7" s="52"/>
      <c r="Q7" s="52">
        <f t="shared" si="2"/>
        <v>2.1565999999999992</v>
      </c>
      <c r="R7" s="52">
        <v>0.1807</v>
      </c>
      <c r="S7" s="52"/>
      <c r="T7" s="52"/>
      <c r="U7" s="52"/>
      <c r="V7" s="52">
        <f t="shared" si="3"/>
        <v>2.337299999999999</v>
      </c>
      <c r="W7" s="70">
        <v>0.20100000000000001</v>
      </c>
      <c r="X7" s="70"/>
      <c r="Y7" s="53"/>
      <c r="Z7" s="53"/>
      <c r="AA7" s="52">
        <f t="shared" si="4"/>
        <v>2.5382999999999991</v>
      </c>
      <c r="AB7" s="52">
        <v>0.33300000000000002</v>
      </c>
      <c r="AC7" s="53">
        <v>0.96</v>
      </c>
      <c r="AD7" s="53"/>
      <c r="AE7" s="53"/>
      <c r="AF7" s="52">
        <f t="shared" si="5"/>
        <v>1.9112999999999993</v>
      </c>
      <c r="AG7" s="52">
        <v>0.14050000000000001</v>
      </c>
      <c r="AH7" s="52"/>
      <c r="AI7" s="52"/>
      <c r="AJ7" s="52"/>
      <c r="AK7" s="52">
        <f t="shared" si="6"/>
        <v>2.0517999999999992</v>
      </c>
      <c r="AL7" s="72">
        <v>0.93400000000000005</v>
      </c>
      <c r="AM7" s="52">
        <f>0.6825+1.1125</f>
        <v>1.7949999999999999</v>
      </c>
      <c r="AN7" s="52"/>
      <c r="AO7" s="52"/>
      <c r="AP7" s="52">
        <f t="shared" si="7"/>
        <v>1.1907999999999994</v>
      </c>
      <c r="AQ7" s="52">
        <v>0.17419999999999999</v>
      </c>
      <c r="AR7" s="52"/>
      <c r="AS7" s="52"/>
      <c r="AT7" s="52"/>
      <c r="AU7" s="52">
        <f t="shared" si="8"/>
        <v>1.3649999999999993</v>
      </c>
      <c r="AV7" s="52">
        <v>0.2145</v>
      </c>
      <c r="AW7" s="53"/>
      <c r="AX7" s="53"/>
      <c r="AY7" s="53"/>
      <c r="AZ7" s="52">
        <f t="shared" si="9"/>
        <v>1.5794999999999992</v>
      </c>
      <c r="BA7" s="52">
        <v>0.21049999999999999</v>
      </c>
      <c r="BB7" s="52"/>
      <c r="BC7" s="52"/>
      <c r="BD7" s="52"/>
      <c r="BE7" s="52">
        <f t="shared" si="10"/>
        <v>1.7899999999999991</v>
      </c>
      <c r="BF7" s="52">
        <v>0.185</v>
      </c>
      <c r="BG7" s="52"/>
      <c r="BH7" s="52"/>
      <c r="BI7" s="52"/>
      <c r="BJ7" s="52">
        <f t="shared" si="11"/>
        <v>1.9749999999999992</v>
      </c>
      <c r="BK7" s="52"/>
      <c r="BL7" s="52">
        <f t="shared" si="12"/>
        <v>-1.7899999999999991</v>
      </c>
      <c r="BM7" s="178"/>
      <c r="BN7" s="178"/>
    </row>
    <row r="8" spans="1:67" ht="49.5" customHeight="1">
      <c r="A8" s="92" t="s">
        <v>295</v>
      </c>
      <c r="B8" s="93">
        <v>0.14840000000000003</v>
      </c>
      <c r="C8" s="94">
        <v>1.2999999999999999E-2</v>
      </c>
      <c r="D8" s="70"/>
      <c r="E8" s="70"/>
      <c r="F8" s="70"/>
      <c r="G8" s="72">
        <f t="shared" si="0"/>
        <v>0.16140000000000004</v>
      </c>
      <c r="H8" s="69">
        <v>2.1999999999999999E-2</v>
      </c>
      <c r="I8" s="69"/>
      <c r="J8" s="69"/>
      <c r="K8" s="69"/>
      <c r="L8" s="72">
        <f t="shared" si="1"/>
        <v>0.18340000000000004</v>
      </c>
      <c r="M8" s="72">
        <v>9.5999999999999992E-3</v>
      </c>
      <c r="N8" s="52"/>
      <c r="O8" s="52"/>
      <c r="P8" s="52"/>
      <c r="Q8" s="52">
        <f t="shared" si="2"/>
        <v>0.19300000000000003</v>
      </c>
      <c r="R8" s="52">
        <v>5.0000000000000001E-3</v>
      </c>
      <c r="S8" s="53"/>
      <c r="T8" s="53"/>
      <c r="U8" s="53"/>
      <c r="V8" s="52">
        <f t="shared" si="3"/>
        <v>0.19800000000000004</v>
      </c>
      <c r="W8" s="70">
        <v>0</v>
      </c>
      <c r="X8" s="70"/>
      <c r="Y8" s="53"/>
      <c r="Z8" s="53"/>
      <c r="AA8" s="52">
        <f t="shared" si="4"/>
        <v>0.19800000000000004</v>
      </c>
      <c r="AB8" s="52">
        <v>0.01</v>
      </c>
      <c r="AC8" s="52"/>
      <c r="AD8" s="52"/>
      <c r="AE8" s="52"/>
      <c r="AF8" s="52">
        <f t="shared" si="5"/>
        <v>0.20800000000000005</v>
      </c>
      <c r="AG8" s="52">
        <v>7.0000000000000001E-3</v>
      </c>
      <c r="AH8" s="52"/>
      <c r="AI8" s="52"/>
      <c r="AJ8" s="52"/>
      <c r="AK8" s="69">
        <f t="shared" si="6"/>
        <v>0.21500000000000005</v>
      </c>
      <c r="AL8" s="69">
        <v>1.83E-2</v>
      </c>
      <c r="AM8" s="70"/>
      <c r="AN8" s="69">
        <f>76/1000</f>
        <v>7.5999999999999998E-2</v>
      </c>
      <c r="AO8" s="53"/>
      <c r="AP8" s="52">
        <f t="shared" si="7"/>
        <v>0.15730000000000005</v>
      </c>
      <c r="AQ8" s="52">
        <v>1.4999999999999999E-2</v>
      </c>
      <c r="AR8" s="52"/>
      <c r="AS8" s="52"/>
      <c r="AT8" s="52"/>
      <c r="AU8" s="52">
        <f t="shared" si="8"/>
        <v>0.17230000000000006</v>
      </c>
      <c r="AV8" s="52">
        <v>8.0000000000000002E-3</v>
      </c>
      <c r="AW8" s="53"/>
      <c r="AX8" s="53"/>
      <c r="AY8" s="53"/>
      <c r="AZ8" s="52">
        <f t="shared" si="9"/>
        <v>0.18030000000000007</v>
      </c>
      <c r="BA8" s="52">
        <v>3.0000000000000001E-3</v>
      </c>
      <c r="BB8" s="53"/>
      <c r="BC8" s="53"/>
      <c r="BD8" s="53"/>
      <c r="BE8" s="52">
        <f t="shared" si="10"/>
        <v>0.18330000000000007</v>
      </c>
      <c r="BF8" s="52">
        <v>5.0000000000000001E-3</v>
      </c>
      <c r="BG8" s="52"/>
      <c r="BH8" s="52"/>
      <c r="BI8" s="52"/>
      <c r="BJ8" s="52">
        <f t="shared" si="11"/>
        <v>0.18830000000000008</v>
      </c>
      <c r="BK8" s="52"/>
      <c r="BL8" s="52">
        <f t="shared" si="12"/>
        <v>-0.18330000000000007</v>
      </c>
      <c r="BM8" s="178"/>
      <c r="BN8" s="178"/>
    </row>
    <row r="9" spans="1:67" s="95" customFormat="1" ht="38.25" customHeight="1">
      <c r="A9" s="92" t="s">
        <v>296</v>
      </c>
      <c r="B9" s="93">
        <v>1.6997999999999951</v>
      </c>
      <c r="C9" s="94">
        <v>2.9000000000000001E-2</v>
      </c>
      <c r="D9" s="70"/>
      <c r="E9" s="70"/>
      <c r="F9" s="70"/>
      <c r="G9" s="72">
        <f t="shared" si="0"/>
        <v>1.728799999999995</v>
      </c>
      <c r="H9" s="69">
        <f>0.2406+0.0636</f>
        <v>0.30420000000000003</v>
      </c>
      <c r="I9" s="69"/>
      <c r="J9" s="69"/>
      <c r="K9" s="69"/>
      <c r="L9" s="72">
        <f t="shared" si="1"/>
        <v>2.032999999999995</v>
      </c>
      <c r="M9" s="72">
        <v>7.8E-2</v>
      </c>
      <c r="N9" s="72"/>
      <c r="O9" s="72"/>
      <c r="P9" s="72"/>
      <c r="Q9" s="72">
        <f t="shared" si="2"/>
        <v>2.1109999999999949</v>
      </c>
      <c r="R9" s="72">
        <v>0.14180000000000001</v>
      </c>
      <c r="S9" s="74"/>
      <c r="T9" s="74"/>
      <c r="U9" s="74"/>
      <c r="V9" s="72">
        <f t="shared" si="3"/>
        <v>2.2527999999999948</v>
      </c>
      <c r="W9" s="70">
        <v>0.23100000000000001</v>
      </c>
      <c r="X9" s="70"/>
      <c r="Y9" s="72"/>
      <c r="Z9" s="72"/>
      <c r="AA9" s="72">
        <f t="shared" si="4"/>
        <v>2.4837999999999947</v>
      </c>
      <c r="AB9" s="72">
        <f>0.0425+0.017</f>
        <v>5.9500000000000004E-2</v>
      </c>
      <c r="AC9" s="72"/>
      <c r="AD9" s="72"/>
      <c r="AE9" s="72"/>
      <c r="AF9" s="72">
        <f t="shared" si="5"/>
        <v>2.5432999999999946</v>
      </c>
      <c r="AG9" s="72">
        <v>4.0000000000000001E-3</v>
      </c>
      <c r="AH9" s="72"/>
      <c r="AI9" s="72"/>
      <c r="AJ9" s="72"/>
      <c r="AK9" s="72">
        <f t="shared" si="6"/>
        <v>2.5472999999999946</v>
      </c>
      <c r="AL9" s="72">
        <v>7.0000000000000001E-3</v>
      </c>
      <c r="AM9" s="74"/>
      <c r="AN9" s="74"/>
      <c r="AO9" s="74"/>
      <c r="AP9" s="72">
        <f t="shared" si="7"/>
        <v>2.5542999999999947</v>
      </c>
      <c r="AQ9" s="72">
        <v>0.108</v>
      </c>
      <c r="AR9" s="72"/>
      <c r="AS9" s="72"/>
      <c r="AT9" s="72"/>
      <c r="AU9" s="72">
        <f t="shared" si="8"/>
        <v>2.6622999999999948</v>
      </c>
      <c r="AV9" s="72">
        <v>5.0149999999999997</v>
      </c>
      <c r="AW9" s="72"/>
      <c r="AX9" s="72">
        <v>6.46</v>
      </c>
      <c r="AY9" s="72"/>
      <c r="AZ9" s="72">
        <f t="shared" si="9"/>
        <v>1.2172999999999945</v>
      </c>
      <c r="BA9" s="72">
        <v>5.0000000000000001E-3</v>
      </c>
      <c r="BB9" s="74"/>
      <c r="BC9" s="74"/>
      <c r="BD9" s="74"/>
      <c r="BE9" s="72">
        <f t="shared" si="10"/>
        <v>1.2222999999999944</v>
      </c>
      <c r="BF9" s="72">
        <v>0.03</v>
      </c>
      <c r="BG9" s="72"/>
      <c r="BH9" s="72"/>
      <c r="BI9" s="72"/>
      <c r="BJ9" s="72">
        <f t="shared" si="11"/>
        <v>1.2522999999999944</v>
      </c>
      <c r="BK9" s="72"/>
      <c r="BL9" s="72">
        <f t="shared" si="12"/>
        <v>-1.2222999999999944</v>
      </c>
      <c r="BM9" s="178"/>
      <c r="BN9" s="178"/>
    </row>
    <row r="10" spans="1:67">
      <c r="A10" s="105" t="s">
        <v>303</v>
      </c>
      <c r="B10" s="93">
        <v>0.2316</v>
      </c>
      <c r="C10" s="94">
        <v>0</v>
      </c>
      <c r="D10" s="70"/>
      <c r="E10" s="70"/>
      <c r="F10" s="70"/>
      <c r="G10" s="72">
        <f t="shared" si="0"/>
        <v>0.2316</v>
      </c>
      <c r="H10" s="69">
        <v>0</v>
      </c>
      <c r="I10" s="69"/>
      <c r="J10" s="69"/>
      <c r="K10" s="69"/>
      <c r="L10" s="72">
        <f t="shared" si="1"/>
        <v>0.2316</v>
      </c>
      <c r="M10" s="52">
        <v>0</v>
      </c>
      <c r="N10" s="52"/>
      <c r="O10" s="52"/>
      <c r="P10" s="52"/>
      <c r="Q10" s="52">
        <f t="shared" si="2"/>
        <v>0.2316</v>
      </c>
      <c r="R10" s="52">
        <v>0</v>
      </c>
      <c r="S10" s="53"/>
      <c r="T10" s="53"/>
      <c r="U10" s="53"/>
      <c r="V10" s="52">
        <f t="shared" si="3"/>
        <v>0.2316</v>
      </c>
      <c r="W10" s="70">
        <v>0</v>
      </c>
      <c r="X10" s="70"/>
      <c r="Y10" s="52"/>
      <c r="Z10" s="52"/>
      <c r="AA10" s="52">
        <f t="shared" si="4"/>
        <v>0.2316</v>
      </c>
      <c r="AB10" s="52">
        <v>0</v>
      </c>
      <c r="AC10" s="52"/>
      <c r="AD10" s="52"/>
      <c r="AE10" s="52"/>
      <c r="AF10" s="52">
        <f t="shared" si="5"/>
        <v>0.2316</v>
      </c>
      <c r="AG10" s="52">
        <v>0</v>
      </c>
      <c r="AH10" s="52"/>
      <c r="AI10" s="52"/>
      <c r="AJ10" s="52"/>
      <c r="AK10" s="52">
        <f t="shared" si="6"/>
        <v>0.2316</v>
      </c>
      <c r="AL10" s="72">
        <v>0</v>
      </c>
      <c r="AM10" s="53"/>
      <c r="AN10" s="53"/>
      <c r="AO10" s="53"/>
      <c r="AP10" s="52">
        <f t="shared" si="7"/>
        <v>0.2316</v>
      </c>
      <c r="AQ10" s="52">
        <v>0</v>
      </c>
      <c r="AR10" s="52"/>
      <c r="AS10" s="52"/>
      <c r="AT10" s="52"/>
      <c r="AU10" s="52">
        <f t="shared" si="8"/>
        <v>0.2316</v>
      </c>
      <c r="AV10" s="52">
        <v>0</v>
      </c>
      <c r="AW10" s="52"/>
      <c r="AX10" s="52"/>
      <c r="AY10" s="52"/>
      <c r="AZ10" s="52">
        <f t="shared" si="9"/>
        <v>0.2316</v>
      </c>
      <c r="BA10" s="52">
        <v>0</v>
      </c>
      <c r="BB10" s="53"/>
      <c r="BC10" s="53"/>
      <c r="BD10" s="53"/>
      <c r="BE10" s="52">
        <f t="shared" si="10"/>
        <v>0.2316</v>
      </c>
      <c r="BF10" s="52">
        <v>0</v>
      </c>
      <c r="BG10" s="52"/>
      <c r="BH10" s="52"/>
      <c r="BI10" s="52"/>
      <c r="BJ10" s="52">
        <f t="shared" si="11"/>
        <v>0.2316</v>
      </c>
      <c r="BK10" s="52"/>
      <c r="BL10" s="52">
        <f t="shared" si="12"/>
        <v>-0.2316</v>
      </c>
      <c r="BM10" s="178"/>
      <c r="BN10" s="178"/>
    </row>
    <row r="11" spans="1:67">
      <c r="A11" s="96" t="s">
        <v>305</v>
      </c>
      <c r="B11" s="93">
        <v>4.0000000000000036E-2</v>
      </c>
      <c r="C11" s="94">
        <v>0</v>
      </c>
      <c r="D11" s="70"/>
      <c r="E11" s="70"/>
      <c r="F11" s="70"/>
      <c r="G11" s="72">
        <f t="shared" si="0"/>
        <v>4.0000000000000036E-2</v>
      </c>
      <c r="H11" s="69">
        <v>0</v>
      </c>
      <c r="I11" s="69"/>
      <c r="J11" s="69"/>
      <c r="K11" s="69"/>
      <c r="L11" s="72">
        <f t="shared" si="1"/>
        <v>4.0000000000000036E-2</v>
      </c>
      <c r="M11" s="52">
        <v>0</v>
      </c>
      <c r="N11" s="52"/>
      <c r="O11" s="52"/>
      <c r="P11" s="52"/>
      <c r="Q11" s="52">
        <f t="shared" si="2"/>
        <v>4.0000000000000036E-2</v>
      </c>
      <c r="R11" s="52">
        <v>0</v>
      </c>
      <c r="S11" s="53"/>
      <c r="T11" s="53"/>
      <c r="U11" s="53"/>
      <c r="V11" s="52">
        <f t="shared" si="3"/>
        <v>4.0000000000000036E-2</v>
      </c>
      <c r="W11" s="70">
        <v>0</v>
      </c>
      <c r="X11" s="70"/>
      <c r="Y11" s="52"/>
      <c r="Z11" s="52"/>
      <c r="AA11" s="52">
        <f t="shared" si="4"/>
        <v>4.0000000000000036E-2</v>
      </c>
      <c r="AB11" s="52">
        <v>0</v>
      </c>
      <c r="AC11" s="52"/>
      <c r="AD11" s="52"/>
      <c r="AE11" s="52"/>
      <c r="AF11" s="52">
        <f t="shared" si="5"/>
        <v>4.0000000000000036E-2</v>
      </c>
      <c r="AG11" s="52">
        <v>0</v>
      </c>
      <c r="AH11" s="52"/>
      <c r="AI11" s="52"/>
      <c r="AJ11" s="52"/>
      <c r="AK11" s="52">
        <f t="shared" si="6"/>
        <v>4.0000000000000036E-2</v>
      </c>
      <c r="AL11" s="72">
        <v>0</v>
      </c>
      <c r="AM11" s="53"/>
      <c r="AN11" s="53"/>
      <c r="AO11" s="53"/>
      <c r="AP11" s="52">
        <f t="shared" si="7"/>
        <v>4.0000000000000036E-2</v>
      </c>
      <c r="AQ11" s="52">
        <v>0</v>
      </c>
      <c r="AR11" s="52"/>
      <c r="AS11" s="52"/>
      <c r="AT11" s="52"/>
      <c r="AU11" s="52">
        <f t="shared" si="8"/>
        <v>4.0000000000000036E-2</v>
      </c>
      <c r="AV11" s="52">
        <v>0</v>
      </c>
      <c r="AW11" s="52"/>
      <c r="AX11" s="52"/>
      <c r="AY11" s="52"/>
      <c r="AZ11" s="52">
        <f t="shared" si="9"/>
        <v>4.0000000000000036E-2</v>
      </c>
      <c r="BA11" s="52">
        <v>0</v>
      </c>
      <c r="BB11" s="53"/>
      <c r="BC11" s="53"/>
      <c r="BD11" s="53"/>
      <c r="BE11" s="52">
        <f t="shared" si="10"/>
        <v>4.0000000000000036E-2</v>
      </c>
      <c r="BF11" s="52">
        <v>0</v>
      </c>
      <c r="BG11" s="52"/>
      <c r="BH11" s="52"/>
      <c r="BI11" s="52"/>
      <c r="BJ11" s="52">
        <f t="shared" si="11"/>
        <v>4.0000000000000036E-2</v>
      </c>
      <c r="BK11" s="52"/>
      <c r="BL11" s="52">
        <f t="shared" si="12"/>
        <v>-4.0000000000000036E-2</v>
      </c>
      <c r="BM11" s="178"/>
      <c r="BN11" s="178"/>
    </row>
    <row r="12" spans="1:67">
      <c r="A12" s="96" t="s">
        <v>355</v>
      </c>
      <c r="B12" s="93"/>
      <c r="C12" s="94">
        <v>0</v>
      </c>
      <c r="D12" s="70"/>
      <c r="E12" s="70"/>
      <c r="F12" s="70"/>
      <c r="G12" s="72"/>
      <c r="H12" s="69">
        <v>0</v>
      </c>
      <c r="I12" s="69"/>
      <c r="J12" s="69"/>
      <c r="K12" s="69"/>
      <c r="L12" s="72"/>
      <c r="M12" s="52">
        <v>0</v>
      </c>
      <c r="N12" s="52"/>
      <c r="O12" s="52"/>
      <c r="P12" s="52"/>
      <c r="Q12" s="52"/>
      <c r="R12" s="52"/>
      <c r="S12" s="53"/>
      <c r="T12" s="53"/>
      <c r="U12" s="53"/>
      <c r="V12" s="52"/>
      <c r="W12" s="70">
        <v>0</v>
      </c>
      <c r="X12" s="70"/>
      <c r="Y12" s="52"/>
      <c r="Z12" s="52"/>
      <c r="AA12" s="52"/>
      <c r="AB12" s="52">
        <v>0</v>
      </c>
      <c r="AC12" s="52"/>
      <c r="AD12" s="52"/>
      <c r="AE12" s="52"/>
      <c r="AF12" s="52"/>
      <c r="AG12" s="52"/>
      <c r="AH12" s="52"/>
      <c r="AI12" s="52"/>
      <c r="AJ12" s="52"/>
      <c r="AK12" s="52"/>
      <c r="AL12" s="72"/>
      <c r="AM12" s="53"/>
      <c r="AN12" s="53"/>
      <c r="AO12" s="53"/>
      <c r="AP12" s="52"/>
      <c r="AQ12" s="52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3"/>
      <c r="BC12" s="53"/>
      <c r="BD12" s="53"/>
      <c r="BE12" s="52"/>
      <c r="BF12" s="52"/>
      <c r="BG12" s="52"/>
      <c r="BH12" s="52"/>
      <c r="BI12" s="52"/>
      <c r="BJ12" s="52"/>
      <c r="BK12" s="52"/>
      <c r="BL12" s="52"/>
      <c r="BM12" s="178"/>
      <c r="BN12" s="178"/>
    </row>
    <row r="13" spans="1:67">
      <c r="A13" s="96"/>
      <c r="B13" s="70">
        <v>0</v>
      </c>
      <c r="C13" s="70"/>
      <c r="D13" s="70"/>
      <c r="E13" s="70"/>
      <c r="F13" s="70"/>
      <c r="G13" s="72">
        <f t="shared" ref="G13" si="13">(B13+C13)-(D13+E13+F13)</f>
        <v>0</v>
      </c>
      <c r="H13" s="69">
        <v>0</v>
      </c>
      <c r="I13" s="69"/>
      <c r="J13" s="69"/>
      <c r="K13" s="69"/>
      <c r="L13" s="72">
        <f t="shared" ref="L13" si="14">(G13+H13)-(I13+J13+K13)</f>
        <v>0</v>
      </c>
      <c r="M13" s="52"/>
      <c r="N13" s="52"/>
      <c r="O13" s="52"/>
      <c r="P13" s="52"/>
      <c r="Q13" s="52">
        <f t="shared" ref="Q13" si="15">(L13+M13)-(N13+O13+P13)</f>
        <v>0</v>
      </c>
      <c r="R13" s="52"/>
      <c r="S13" s="53"/>
      <c r="T13" s="53"/>
      <c r="U13" s="53"/>
      <c r="V13" s="52">
        <f t="shared" ref="V13" si="16">(Q13+R13)-(S13+T13+U13)</f>
        <v>0</v>
      </c>
      <c r="W13" s="70"/>
      <c r="X13" s="70"/>
      <c r="Y13" s="52"/>
      <c r="Z13" s="52"/>
      <c r="AA13" s="52">
        <f t="shared" ref="AA13" si="17">(V13+W13)-(X13+Y13+Z13)</f>
        <v>0</v>
      </c>
      <c r="AB13" s="52"/>
      <c r="AC13" s="52"/>
      <c r="AD13" s="52"/>
      <c r="AE13" s="52"/>
      <c r="AF13" s="52">
        <f t="shared" ref="AF13" si="18">(AA13+AB13)-(AC13+AD13+AE13)</f>
        <v>0</v>
      </c>
      <c r="AG13" s="52"/>
      <c r="AH13" s="52"/>
      <c r="AI13" s="52"/>
      <c r="AJ13" s="52"/>
      <c r="AK13" s="52">
        <f t="shared" ref="AK13" si="19">(AF13+AG13)-(AH13+AI13+AJ13)</f>
        <v>0</v>
      </c>
      <c r="AL13" s="72"/>
      <c r="AM13" s="74"/>
      <c r="AN13" s="53"/>
      <c r="AO13" s="53"/>
      <c r="AP13" s="52">
        <f t="shared" ref="AP13" si="20">(AK13+AL13)-(AM13+AN13+AO13)</f>
        <v>0</v>
      </c>
      <c r="AQ13" s="52"/>
      <c r="AR13" s="52"/>
      <c r="AS13" s="52"/>
      <c r="AT13" s="52"/>
      <c r="AU13" s="52">
        <f t="shared" ref="AU13" si="21">(AP13+AQ13)-(AR13+AS13+AT13)</f>
        <v>0</v>
      </c>
      <c r="AV13" s="52"/>
      <c r="AW13" s="52"/>
      <c r="AX13" s="52"/>
      <c r="AY13" s="52"/>
      <c r="AZ13" s="52">
        <f t="shared" ref="AZ13" si="22">(AU13+AV13)-(AW13+AX13+AY13)</f>
        <v>0</v>
      </c>
      <c r="BA13" s="52"/>
      <c r="BB13" s="53"/>
      <c r="BC13" s="53"/>
      <c r="BD13" s="53"/>
      <c r="BE13" s="52">
        <f t="shared" ref="BE13" si="23">(AZ13+BA13)-(BB13+BC13+BD13)</f>
        <v>0</v>
      </c>
      <c r="BF13" s="52"/>
      <c r="BG13" s="52"/>
      <c r="BH13" s="52"/>
      <c r="BI13" s="52"/>
      <c r="BJ13" s="52">
        <f t="shared" ref="BJ13" si="24">(BE13+BF13)-(BG13+BH13+BI13)</f>
        <v>0</v>
      </c>
      <c r="BK13" s="52"/>
      <c r="BL13" s="52">
        <f t="shared" ref="BL13" si="25">(BG13+BH13+BI13)+BK13-BE13</f>
        <v>0</v>
      </c>
      <c r="BM13" s="178"/>
      <c r="BN13" s="178"/>
    </row>
    <row r="14" spans="1:67">
      <c r="A14" s="52" t="s">
        <v>206</v>
      </c>
      <c r="B14" s="51">
        <f t="shared" ref="B14:AG14" si="26">SUM(B5:B13)</f>
        <v>10.732599999999994</v>
      </c>
      <c r="C14" s="51">
        <f t="shared" si="26"/>
        <v>0.2001</v>
      </c>
      <c r="D14" s="51">
        <f t="shared" si="26"/>
        <v>0</v>
      </c>
      <c r="E14" s="51">
        <f t="shared" si="26"/>
        <v>0</v>
      </c>
      <c r="F14" s="51">
        <f t="shared" si="26"/>
        <v>0</v>
      </c>
      <c r="G14" s="51">
        <f t="shared" si="26"/>
        <v>10.932699999999993</v>
      </c>
      <c r="H14" s="51">
        <f t="shared" si="26"/>
        <v>6.9594000000000005</v>
      </c>
      <c r="I14" s="51">
        <f t="shared" si="26"/>
        <v>0.80500000000000005</v>
      </c>
      <c r="J14" s="51">
        <f t="shared" si="26"/>
        <v>11.094999999999999</v>
      </c>
      <c r="K14" s="51">
        <f t="shared" si="26"/>
        <v>0</v>
      </c>
      <c r="L14" s="71">
        <f t="shared" si="26"/>
        <v>5.9920999999999944</v>
      </c>
      <c r="M14" s="51">
        <f t="shared" si="26"/>
        <v>2.6416999999999997</v>
      </c>
      <c r="N14" s="51">
        <f t="shared" si="26"/>
        <v>0</v>
      </c>
      <c r="O14" s="51">
        <f t="shared" si="26"/>
        <v>0</v>
      </c>
      <c r="P14" s="51">
        <f t="shared" si="26"/>
        <v>0</v>
      </c>
      <c r="Q14" s="51">
        <f t="shared" si="26"/>
        <v>8.6337999999999937</v>
      </c>
      <c r="R14" s="51">
        <f t="shared" si="26"/>
        <v>0.73060000000000003</v>
      </c>
      <c r="S14" s="51">
        <f t="shared" si="26"/>
        <v>0</v>
      </c>
      <c r="T14" s="51">
        <f t="shared" si="26"/>
        <v>0</v>
      </c>
      <c r="U14" s="51">
        <f t="shared" si="26"/>
        <v>0</v>
      </c>
      <c r="V14" s="51">
        <f t="shared" si="26"/>
        <v>9.3643999999999963</v>
      </c>
      <c r="W14" s="51">
        <f t="shared" si="26"/>
        <v>0.54600000000000004</v>
      </c>
      <c r="X14" s="51">
        <f t="shared" si="26"/>
        <v>0</v>
      </c>
      <c r="Y14" s="51">
        <f t="shared" si="26"/>
        <v>0</v>
      </c>
      <c r="Z14" s="51">
        <f t="shared" si="26"/>
        <v>0</v>
      </c>
      <c r="AA14" s="51">
        <f t="shared" si="26"/>
        <v>9.9103999999999957</v>
      </c>
      <c r="AB14" s="51">
        <f t="shared" si="26"/>
        <v>1.6175000000000002</v>
      </c>
      <c r="AC14" s="51">
        <f t="shared" si="26"/>
        <v>0.96</v>
      </c>
      <c r="AD14" s="51">
        <f t="shared" si="26"/>
        <v>0.8</v>
      </c>
      <c r="AE14" s="51">
        <f t="shared" si="26"/>
        <v>0</v>
      </c>
      <c r="AF14" s="51">
        <f t="shared" si="26"/>
        <v>9.7678999999999974</v>
      </c>
      <c r="AG14" s="51">
        <f t="shared" si="26"/>
        <v>0.30049999999999999</v>
      </c>
      <c r="AH14" s="51">
        <f t="shared" ref="AH14:BL14" si="27">SUM(AH5:AH13)</f>
        <v>0</v>
      </c>
      <c r="AI14" s="51">
        <f t="shared" si="27"/>
        <v>0</v>
      </c>
      <c r="AJ14" s="51">
        <f t="shared" si="27"/>
        <v>0</v>
      </c>
      <c r="AK14" s="51">
        <f t="shared" si="27"/>
        <v>10.068399999999993</v>
      </c>
      <c r="AL14" s="51">
        <f t="shared" si="27"/>
        <v>1.3573</v>
      </c>
      <c r="AM14" s="51">
        <f t="shared" si="27"/>
        <v>1.7949999999999999</v>
      </c>
      <c r="AN14" s="51">
        <f t="shared" si="27"/>
        <v>3.1379999999999999</v>
      </c>
      <c r="AO14" s="51">
        <f t="shared" si="27"/>
        <v>0</v>
      </c>
      <c r="AP14" s="51">
        <f t="shared" si="27"/>
        <v>6.4926999999999966</v>
      </c>
      <c r="AQ14" s="51">
        <f t="shared" si="27"/>
        <v>0.43320000000000003</v>
      </c>
      <c r="AR14" s="51">
        <f t="shared" si="27"/>
        <v>0</v>
      </c>
      <c r="AS14" s="51">
        <f t="shared" si="27"/>
        <v>0</v>
      </c>
      <c r="AT14" s="51">
        <f t="shared" si="27"/>
        <v>0</v>
      </c>
      <c r="AU14" s="51">
        <f t="shared" si="27"/>
        <v>6.9258999999999959</v>
      </c>
      <c r="AV14" s="51">
        <f t="shared" si="27"/>
        <v>5.5589999999999993</v>
      </c>
      <c r="AW14" s="51">
        <f t="shared" si="27"/>
        <v>0</v>
      </c>
      <c r="AX14" s="51">
        <f t="shared" si="27"/>
        <v>6.46</v>
      </c>
      <c r="AY14" s="51">
        <f t="shared" si="27"/>
        <v>0</v>
      </c>
      <c r="AZ14" s="51">
        <f t="shared" si="27"/>
        <v>6.0248999999999953</v>
      </c>
      <c r="BA14" s="51">
        <f t="shared" si="27"/>
        <v>0.40849999999999997</v>
      </c>
      <c r="BB14" s="51">
        <f t="shared" si="27"/>
        <v>0</v>
      </c>
      <c r="BC14" s="51">
        <f t="shared" si="27"/>
        <v>0</v>
      </c>
      <c r="BD14" s="51">
        <f t="shared" si="27"/>
        <v>0</v>
      </c>
      <c r="BE14" s="51">
        <f t="shared" si="27"/>
        <v>6.4333999999999945</v>
      </c>
      <c r="BF14" s="51">
        <f t="shared" si="27"/>
        <v>2.1019999999999994</v>
      </c>
      <c r="BG14" s="51">
        <f t="shared" si="27"/>
        <v>0</v>
      </c>
      <c r="BH14" s="51">
        <f t="shared" si="27"/>
        <v>0</v>
      </c>
      <c r="BI14" s="51">
        <f t="shared" si="27"/>
        <v>0</v>
      </c>
      <c r="BJ14" s="51">
        <f t="shared" si="27"/>
        <v>8.5353999999999957</v>
      </c>
      <c r="BK14" s="51">
        <f t="shared" si="27"/>
        <v>0</v>
      </c>
      <c r="BL14" s="51">
        <f t="shared" si="27"/>
        <v>-6.4333999999999945</v>
      </c>
      <c r="BM14" s="86">
        <f>C14+H14+M14+R14+W14+AB14+AG14+AL14+AQ14+AV14+BA14+BF14</f>
        <v>22.855799999999999</v>
      </c>
      <c r="BN14" s="86">
        <f>F14+K14+P14+U14+Z14+AE14+AJ14+AO14+AT14+AY14+BD14+BI14</f>
        <v>0</v>
      </c>
    </row>
    <row r="15" spans="1:67" s="100" customFormat="1">
      <c r="A15" s="97" t="s">
        <v>200</v>
      </c>
      <c r="B15" s="98"/>
      <c r="C15" s="99">
        <f>C14*1000/'Production, Raw Mat'!C$5</f>
        <v>2.0822209857698247E-2</v>
      </c>
      <c r="D15" s="98"/>
      <c r="E15" s="98"/>
      <c r="F15" s="99">
        <f>F14*1000/'Production, Raw Mat'!C$3</f>
        <v>0</v>
      </c>
      <c r="G15" s="98"/>
      <c r="H15" s="99">
        <f>H14*1000/'Production, Raw Mat'!D$5</f>
        <v>1.1029018602973235</v>
      </c>
      <c r="I15" s="98"/>
      <c r="J15" s="98"/>
      <c r="K15" s="99">
        <f>K14*1000/'Production, Raw Mat'!D$5</f>
        <v>0</v>
      </c>
      <c r="L15" s="98"/>
      <c r="M15" s="99">
        <f>M14*1000/'Production, Raw Mat'!E$5</f>
        <v>0.14897106821739159</v>
      </c>
      <c r="N15" s="98"/>
      <c r="O15" s="98"/>
      <c r="P15" s="99">
        <f>P14*1000/'Production, Raw Mat'!E$5</f>
        <v>0</v>
      </c>
      <c r="Q15" s="98"/>
      <c r="R15" s="99">
        <f>R14*1000/'Production, Raw Mat'!F$5</f>
        <v>4.6253810544885719E-2</v>
      </c>
      <c r="S15" s="98"/>
      <c r="T15" s="98"/>
      <c r="U15" s="99">
        <f>U14*1000/'Production, Raw Mat'!F$5</f>
        <v>0</v>
      </c>
      <c r="V15" s="98"/>
      <c r="W15" s="99">
        <f>W14*1000/'Production, Raw Mat'!G$5</f>
        <v>3.3930325253674218E-2</v>
      </c>
      <c r="X15" s="98"/>
      <c r="Y15" s="98"/>
      <c r="Z15" s="99">
        <f>Z14*1000/'Production, Raw Mat'!G$5</f>
        <v>0</v>
      </c>
      <c r="AA15" s="98"/>
      <c r="AB15" s="99">
        <f>AB14*1000/'Production, Raw Mat'!H$5</f>
        <v>9.857986586738951E-2</v>
      </c>
      <c r="AC15" s="98"/>
      <c r="AD15" s="98"/>
      <c r="AE15" s="99">
        <f>AE14*1000/'Production, Raw Mat'!H$5</f>
        <v>0</v>
      </c>
      <c r="AF15" s="98"/>
      <c r="AG15" s="99">
        <f>AG14*1000/'Production, Raw Mat'!I$5</f>
        <v>1.6283446805157923E-2</v>
      </c>
      <c r="AH15" s="98"/>
      <c r="AI15" s="98"/>
      <c r="AJ15" s="99">
        <f>AJ14*1000/'Production, Raw Mat'!I$5</f>
        <v>0</v>
      </c>
      <c r="AK15" s="98"/>
      <c r="AL15" s="99">
        <f>AL14*1000/'Production, Raw Mat'!J$5</f>
        <v>8.3889432528888641E-2</v>
      </c>
      <c r="AM15" s="98"/>
      <c r="AN15" s="98"/>
      <c r="AO15" s="99">
        <f>AO14*1000/'Production, Raw Mat'!J$5</f>
        <v>0</v>
      </c>
      <c r="AP15" s="98"/>
      <c r="AQ15" s="99">
        <f>AQ14*1000/'Production, Raw Mat'!K$5</f>
        <v>3.5693215233100643E-2</v>
      </c>
      <c r="AR15" s="98"/>
      <c r="AS15" s="98"/>
      <c r="AT15" s="99">
        <f>AT14*1000/'Production, Raw Mat'!K$5</f>
        <v>0</v>
      </c>
      <c r="AU15" s="98"/>
      <c r="AV15" s="99">
        <f>AV14*1000/'Production, Raw Mat'!L$5</f>
        <v>0.4459743933803918</v>
      </c>
      <c r="AW15" s="98"/>
      <c r="AX15" s="98"/>
      <c r="AY15" s="99">
        <f>AY14*1000/'Production, Raw Mat'!L$5</f>
        <v>0</v>
      </c>
      <c r="AZ15" s="98"/>
      <c r="BA15" s="99">
        <f>BA14*1000/'Production, Raw Mat'!M$5</f>
        <v>3.3146314147515073E-2</v>
      </c>
      <c r="BB15" s="98"/>
      <c r="BC15" s="98"/>
      <c r="BD15" s="99">
        <f>BD14*1000/'Production, Raw Mat'!M$5</f>
        <v>0</v>
      </c>
      <c r="BE15" s="98"/>
      <c r="BF15" s="99">
        <f>BF14*1000/'Production, Raw Mat'!R$5</f>
        <v>4.4942653241660767E-2</v>
      </c>
      <c r="BG15" s="98"/>
      <c r="BH15" s="98"/>
      <c r="BI15" s="99">
        <f>BI14*1000/'Production, Raw Mat'!N$5</f>
        <v>0</v>
      </c>
      <c r="BJ15" s="98"/>
      <c r="BK15" s="98"/>
      <c r="BL15" s="99">
        <f>BL14*1000/'Production, Raw Mat'!N$5</f>
        <v>-0.40198860519203228</v>
      </c>
      <c r="BM15" s="179">
        <f>BM14*1000/'Production, Raw Mat'!$O$5</f>
        <v>0.13483301667490835</v>
      </c>
      <c r="BN15" s="179">
        <f>BN14*1000/'Production, Raw Mat'!$O$5</f>
        <v>0</v>
      </c>
    </row>
    <row r="17" spans="1:66" s="90" customFormat="1" ht="25.5" customHeight="1">
      <c r="A17" s="240" t="s">
        <v>265</v>
      </c>
      <c r="B17" s="241" t="s">
        <v>153</v>
      </c>
      <c r="C17" s="241"/>
      <c r="D17" s="241"/>
      <c r="E17" s="241"/>
      <c r="F17" s="241"/>
      <c r="G17" s="241" t="s">
        <v>154</v>
      </c>
      <c r="H17" s="241"/>
      <c r="I17" s="241"/>
      <c r="J17" s="241"/>
      <c r="K17" s="241"/>
      <c r="L17" s="241" t="s">
        <v>155</v>
      </c>
      <c r="M17" s="241"/>
      <c r="N17" s="241"/>
      <c r="O17" s="241"/>
      <c r="P17" s="241"/>
      <c r="Q17" s="241" t="s">
        <v>156</v>
      </c>
      <c r="R17" s="241"/>
      <c r="S17" s="241"/>
      <c r="T17" s="241"/>
      <c r="U17" s="241"/>
      <c r="V17" s="241" t="s">
        <v>157</v>
      </c>
      <c r="W17" s="241"/>
      <c r="X17" s="241"/>
      <c r="Y17" s="241"/>
      <c r="Z17" s="241"/>
      <c r="AA17" s="241" t="s">
        <v>158</v>
      </c>
      <c r="AB17" s="241"/>
      <c r="AC17" s="241"/>
      <c r="AD17" s="241"/>
      <c r="AE17" s="241"/>
      <c r="AF17" s="241" t="s">
        <v>159</v>
      </c>
      <c r="AG17" s="241"/>
      <c r="AH17" s="241"/>
      <c r="AI17" s="241"/>
      <c r="AJ17" s="241"/>
      <c r="AK17" s="241" t="s">
        <v>160</v>
      </c>
      <c r="AL17" s="241"/>
      <c r="AM17" s="241"/>
      <c r="AN17" s="241"/>
      <c r="AO17" s="241"/>
      <c r="AP17" s="241" t="s">
        <v>161</v>
      </c>
      <c r="AQ17" s="241"/>
      <c r="AR17" s="241"/>
      <c r="AS17" s="241"/>
      <c r="AT17" s="241"/>
      <c r="AU17" s="241" t="s">
        <v>162</v>
      </c>
      <c r="AV17" s="241"/>
      <c r="AW17" s="241"/>
      <c r="AX17" s="241"/>
      <c r="AY17" s="241"/>
      <c r="AZ17" s="241" t="s">
        <v>163</v>
      </c>
      <c r="BA17" s="241"/>
      <c r="BB17" s="241"/>
      <c r="BC17" s="241"/>
      <c r="BD17" s="241"/>
      <c r="BE17" s="242" t="s">
        <v>164</v>
      </c>
      <c r="BF17" s="243"/>
      <c r="BG17" s="243"/>
      <c r="BH17" s="243"/>
      <c r="BI17" s="243"/>
      <c r="BJ17" s="243"/>
      <c r="BK17" s="243"/>
      <c r="BL17" s="244"/>
      <c r="BM17" s="245" t="s">
        <v>408</v>
      </c>
      <c r="BN17" s="245"/>
    </row>
    <row r="18" spans="1:66" s="90" customFormat="1" ht="25.5" customHeight="1">
      <c r="A18" s="240"/>
      <c r="B18" s="237" t="s">
        <v>260</v>
      </c>
      <c r="C18" s="238" t="s">
        <v>276</v>
      </c>
      <c r="D18" s="239" t="s">
        <v>201</v>
      </c>
      <c r="E18" s="239"/>
      <c r="F18" s="239"/>
      <c r="G18" s="237" t="s">
        <v>260</v>
      </c>
      <c r="H18" s="238" t="s">
        <v>276</v>
      </c>
      <c r="I18" s="239" t="s">
        <v>201</v>
      </c>
      <c r="J18" s="239"/>
      <c r="K18" s="239"/>
      <c r="L18" s="237" t="s">
        <v>260</v>
      </c>
      <c r="M18" s="238" t="s">
        <v>276</v>
      </c>
      <c r="N18" s="239" t="s">
        <v>201</v>
      </c>
      <c r="O18" s="239"/>
      <c r="P18" s="239"/>
      <c r="Q18" s="237" t="s">
        <v>260</v>
      </c>
      <c r="R18" s="238" t="s">
        <v>276</v>
      </c>
      <c r="S18" s="239" t="s">
        <v>201</v>
      </c>
      <c r="T18" s="239"/>
      <c r="U18" s="239"/>
      <c r="V18" s="237" t="s">
        <v>260</v>
      </c>
      <c r="W18" s="238" t="s">
        <v>276</v>
      </c>
      <c r="X18" s="239" t="s">
        <v>201</v>
      </c>
      <c r="Y18" s="239"/>
      <c r="Z18" s="239"/>
      <c r="AA18" s="237" t="s">
        <v>260</v>
      </c>
      <c r="AB18" s="238" t="s">
        <v>276</v>
      </c>
      <c r="AC18" s="239" t="s">
        <v>201</v>
      </c>
      <c r="AD18" s="239"/>
      <c r="AE18" s="239"/>
      <c r="AF18" s="237" t="s">
        <v>260</v>
      </c>
      <c r="AG18" s="238" t="s">
        <v>276</v>
      </c>
      <c r="AH18" s="239" t="s">
        <v>201</v>
      </c>
      <c r="AI18" s="239"/>
      <c r="AJ18" s="239"/>
      <c r="AK18" s="237" t="s">
        <v>260</v>
      </c>
      <c r="AL18" s="238" t="s">
        <v>276</v>
      </c>
      <c r="AM18" s="239" t="s">
        <v>201</v>
      </c>
      <c r="AN18" s="239"/>
      <c r="AO18" s="239"/>
      <c r="AP18" s="237" t="s">
        <v>260</v>
      </c>
      <c r="AQ18" s="238" t="s">
        <v>276</v>
      </c>
      <c r="AR18" s="239" t="s">
        <v>201</v>
      </c>
      <c r="AS18" s="239"/>
      <c r="AT18" s="239"/>
      <c r="AU18" s="237" t="s">
        <v>260</v>
      </c>
      <c r="AV18" s="238" t="s">
        <v>276</v>
      </c>
      <c r="AW18" s="239" t="s">
        <v>201</v>
      </c>
      <c r="AX18" s="239"/>
      <c r="AY18" s="239"/>
      <c r="AZ18" s="237" t="s">
        <v>260</v>
      </c>
      <c r="BA18" s="238" t="s">
        <v>276</v>
      </c>
      <c r="BB18" s="239" t="s">
        <v>201</v>
      </c>
      <c r="BC18" s="239"/>
      <c r="BD18" s="239"/>
      <c r="BE18" s="237" t="s">
        <v>260</v>
      </c>
      <c r="BF18" s="238" t="s">
        <v>276</v>
      </c>
      <c r="BG18" s="239" t="s">
        <v>201</v>
      </c>
      <c r="BH18" s="239"/>
      <c r="BI18" s="239"/>
      <c r="BJ18" s="237" t="s">
        <v>204</v>
      </c>
      <c r="BK18" s="238" t="s">
        <v>203</v>
      </c>
      <c r="BL18" s="237" t="s">
        <v>205</v>
      </c>
      <c r="BM18" s="246" t="s">
        <v>409</v>
      </c>
      <c r="BN18" s="247" t="s">
        <v>410</v>
      </c>
    </row>
    <row r="19" spans="1:66" ht="102.75">
      <c r="A19" s="240"/>
      <c r="B19" s="237"/>
      <c r="C19" s="238"/>
      <c r="D19" s="91" t="s">
        <v>261</v>
      </c>
      <c r="E19" s="91" t="s">
        <v>262</v>
      </c>
      <c r="F19" s="91" t="s">
        <v>263</v>
      </c>
      <c r="G19" s="237"/>
      <c r="H19" s="238"/>
      <c r="I19" s="91" t="s">
        <v>261</v>
      </c>
      <c r="J19" s="91" t="s">
        <v>262</v>
      </c>
      <c r="K19" s="91" t="s">
        <v>263</v>
      </c>
      <c r="L19" s="237"/>
      <c r="M19" s="238"/>
      <c r="N19" s="91" t="s">
        <v>261</v>
      </c>
      <c r="O19" s="91" t="s">
        <v>262</v>
      </c>
      <c r="P19" s="91" t="s">
        <v>263</v>
      </c>
      <c r="Q19" s="237"/>
      <c r="R19" s="238"/>
      <c r="S19" s="91" t="s">
        <v>261</v>
      </c>
      <c r="T19" s="91" t="s">
        <v>262</v>
      </c>
      <c r="U19" s="91" t="s">
        <v>263</v>
      </c>
      <c r="V19" s="237"/>
      <c r="W19" s="238"/>
      <c r="X19" s="91" t="s">
        <v>261</v>
      </c>
      <c r="Y19" s="91" t="s">
        <v>262</v>
      </c>
      <c r="Z19" s="91" t="s">
        <v>263</v>
      </c>
      <c r="AA19" s="237"/>
      <c r="AB19" s="238"/>
      <c r="AC19" s="91" t="s">
        <v>261</v>
      </c>
      <c r="AD19" s="91" t="s">
        <v>262</v>
      </c>
      <c r="AE19" s="91" t="s">
        <v>263</v>
      </c>
      <c r="AF19" s="237"/>
      <c r="AG19" s="238"/>
      <c r="AH19" s="91" t="s">
        <v>261</v>
      </c>
      <c r="AI19" s="91" t="s">
        <v>262</v>
      </c>
      <c r="AJ19" s="91" t="s">
        <v>263</v>
      </c>
      <c r="AK19" s="237"/>
      <c r="AL19" s="238"/>
      <c r="AM19" s="91" t="s">
        <v>261</v>
      </c>
      <c r="AN19" s="91" t="s">
        <v>262</v>
      </c>
      <c r="AO19" s="91" t="s">
        <v>263</v>
      </c>
      <c r="AP19" s="237"/>
      <c r="AQ19" s="238"/>
      <c r="AR19" s="91" t="s">
        <v>261</v>
      </c>
      <c r="AS19" s="91" t="s">
        <v>262</v>
      </c>
      <c r="AT19" s="91" t="s">
        <v>263</v>
      </c>
      <c r="AU19" s="237"/>
      <c r="AV19" s="238"/>
      <c r="AW19" s="91" t="s">
        <v>261</v>
      </c>
      <c r="AX19" s="91" t="s">
        <v>262</v>
      </c>
      <c r="AY19" s="91" t="s">
        <v>263</v>
      </c>
      <c r="AZ19" s="237"/>
      <c r="BA19" s="238"/>
      <c r="BB19" s="91" t="s">
        <v>261</v>
      </c>
      <c r="BC19" s="91" t="s">
        <v>262</v>
      </c>
      <c r="BD19" s="91" t="s">
        <v>263</v>
      </c>
      <c r="BE19" s="237"/>
      <c r="BF19" s="238"/>
      <c r="BG19" s="91" t="s">
        <v>261</v>
      </c>
      <c r="BH19" s="91" t="s">
        <v>262</v>
      </c>
      <c r="BI19" s="91" t="s">
        <v>263</v>
      </c>
      <c r="BJ19" s="237"/>
      <c r="BK19" s="238"/>
      <c r="BL19" s="237"/>
      <c r="BM19" s="246"/>
      <c r="BN19" s="247"/>
    </row>
    <row r="20" spans="1:66" s="73" customFormat="1" ht="32.25" customHeight="1">
      <c r="A20" s="92" t="s">
        <v>416</v>
      </c>
      <c r="B20" s="93">
        <v>0</v>
      </c>
      <c r="C20" s="212">
        <f>68780/1000</f>
        <v>68.78</v>
      </c>
      <c r="D20" s="212">
        <f>68780/1000</f>
        <v>68.78</v>
      </c>
      <c r="E20" s="212"/>
      <c r="F20" s="94"/>
      <c r="G20" s="72">
        <f t="shared" ref="G20:G29" si="28">(B20+C20)-(D20+E20+F20)</f>
        <v>0</v>
      </c>
      <c r="H20" s="72">
        <f>195200/1000</f>
        <v>195.2</v>
      </c>
      <c r="I20" s="72"/>
      <c r="J20" s="72">
        <v>195.2</v>
      </c>
      <c r="K20" s="72"/>
      <c r="L20" s="72">
        <f t="shared" ref="L20:L29" si="29">(G20+H20)-(I20+J20+K20)</f>
        <v>0</v>
      </c>
      <c r="M20" s="72">
        <v>0</v>
      </c>
      <c r="N20" s="72"/>
      <c r="O20" s="72"/>
      <c r="P20" s="72"/>
      <c r="Q20" s="72">
        <f t="shared" ref="Q20:Q29" si="30">(L20+M20)-(N20+O20+P20)</f>
        <v>0</v>
      </c>
      <c r="R20" s="72">
        <v>0</v>
      </c>
      <c r="S20" s="72"/>
      <c r="T20" s="72"/>
      <c r="U20" s="72"/>
      <c r="V20" s="72">
        <f t="shared" ref="V20:V29" si="31">(Q20+R20)-(S20+T20+U20)</f>
        <v>0</v>
      </c>
      <c r="W20" s="72">
        <v>0</v>
      </c>
      <c r="X20" s="72"/>
      <c r="Y20" s="72"/>
      <c r="Z20" s="72"/>
      <c r="AA20" s="72">
        <f t="shared" ref="AA20:AA29" si="32">(V20+W20)-(X20+Y20+Z20)</f>
        <v>0</v>
      </c>
      <c r="AB20" s="72">
        <v>0</v>
      </c>
      <c r="AC20" s="72"/>
      <c r="AD20" s="72"/>
      <c r="AE20" s="72"/>
      <c r="AF20" s="72">
        <f t="shared" ref="AF20:AF29" si="33">(AA20+AB20)-(AC20+AD20+AE20)</f>
        <v>0</v>
      </c>
      <c r="AG20" s="72">
        <v>0</v>
      </c>
      <c r="AH20" s="72"/>
      <c r="AI20" s="72"/>
      <c r="AJ20" s="72"/>
      <c r="AK20" s="72">
        <f t="shared" ref="AK20:AK29" si="34">(AF20+AG20)-(AH20+AI20+AJ20)</f>
        <v>0</v>
      </c>
      <c r="AL20" s="72">
        <v>0</v>
      </c>
      <c r="AM20" s="72"/>
      <c r="AN20" s="72"/>
      <c r="AO20" s="72"/>
      <c r="AP20" s="72">
        <f t="shared" ref="AP20:AP29" si="35">(AK20+AL20)-(AM20+AN20+AO20)</f>
        <v>0</v>
      </c>
      <c r="AQ20" s="72">
        <v>0</v>
      </c>
      <c r="AR20" s="72"/>
      <c r="AS20" s="72"/>
      <c r="AT20" s="72"/>
      <c r="AU20" s="72">
        <f t="shared" ref="AU20:AU29" si="36">(AP20+AQ20)-(AR20+AS20+AT20)</f>
        <v>0</v>
      </c>
      <c r="AV20" s="72">
        <v>0</v>
      </c>
      <c r="AW20" s="72"/>
      <c r="AX20" s="72"/>
      <c r="AY20" s="72"/>
      <c r="AZ20" s="72">
        <f t="shared" ref="AZ20:AZ29" si="37">(AU20+AV20)-(AW20+AX20+AY20)</f>
        <v>0</v>
      </c>
      <c r="BA20" s="72">
        <v>0</v>
      </c>
      <c r="BB20" s="72"/>
      <c r="BC20" s="72"/>
      <c r="BD20" s="72"/>
      <c r="BE20" s="72">
        <f t="shared" ref="BE20:BE29" si="38">(AZ20+BA20)-(BB20+BC20+BD20)</f>
        <v>0</v>
      </c>
      <c r="BF20" s="72">
        <v>0</v>
      </c>
      <c r="BG20" s="72"/>
      <c r="BH20" s="72"/>
      <c r="BI20" s="72"/>
      <c r="BJ20" s="72">
        <f>(BE20+BF20)-(BG20+BH20+BI20)</f>
        <v>0</v>
      </c>
      <c r="BK20" s="72"/>
      <c r="BL20" s="72">
        <f>(BG20+BH20+BI20)+BK20-BE20</f>
        <v>0</v>
      </c>
      <c r="BM20" s="178"/>
      <c r="BN20" s="178"/>
    </row>
    <row r="21" spans="1:66" s="73" customFormat="1" ht="23.25" customHeight="1">
      <c r="A21" s="101" t="s">
        <v>297</v>
      </c>
      <c r="B21" s="93">
        <v>0</v>
      </c>
      <c r="C21" s="94">
        <v>0</v>
      </c>
      <c r="D21" s="94"/>
      <c r="E21" s="94"/>
      <c r="F21" s="94"/>
      <c r="G21" s="72">
        <f t="shared" si="28"/>
        <v>0</v>
      </c>
      <c r="H21" s="72">
        <v>0</v>
      </c>
      <c r="I21" s="72"/>
      <c r="J21" s="72"/>
      <c r="K21" s="72"/>
      <c r="L21" s="72">
        <f t="shared" si="29"/>
        <v>0</v>
      </c>
      <c r="M21" s="72">
        <v>0</v>
      </c>
      <c r="N21" s="72"/>
      <c r="O21" s="72"/>
      <c r="P21" s="72"/>
      <c r="Q21" s="72">
        <f t="shared" si="30"/>
        <v>0</v>
      </c>
      <c r="R21" s="72">
        <v>0</v>
      </c>
      <c r="S21" s="72"/>
      <c r="T21" s="72"/>
      <c r="U21" s="72"/>
      <c r="V21" s="72">
        <f t="shared" si="31"/>
        <v>0</v>
      </c>
      <c r="W21" s="72">
        <v>0</v>
      </c>
      <c r="X21" s="72"/>
      <c r="Y21" s="72"/>
      <c r="Z21" s="72"/>
      <c r="AA21" s="72">
        <f t="shared" si="32"/>
        <v>0</v>
      </c>
      <c r="AB21" s="72">
        <v>0</v>
      </c>
      <c r="AC21" s="72"/>
      <c r="AD21" s="72"/>
      <c r="AE21" s="72"/>
      <c r="AF21" s="72">
        <f t="shared" si="33"/>
        <v>0</v>
      </c>
      <c r="AG21" s="72">
        <v>0</v>
      </c>
      <c r="AH21" s="72"/>
      <c r="AI21" s="72"/>
      <c r="AJ21" s="72"/>
      <c r="AK21" s="72">
        <f t="shared" si="34"/>
        <v>0</v>
      </c>
      <c r="AL21" s="72">
        <v>0</v>
      </c>
      <c r="AM21" s="72"/>
      <c r="AN21" s="72"/>
      <c r="AO21" s="72"/>
      <c r="AP21" s="72">
        <f t="shared" si="35"/>
        <v>0</v>
      </c>
      <c r="AQ21" s="72">
        <v>0</v>
      </c>
      <c r="AR21" s="72"/>
      <c r="AS21" s="72"/>
      <c r="AT21" s="72"/>
      <c r="AU21" s="72">
        <f t="shared" si="36"/>
        <v>0</v>
      </c>
      <c r="AV21" s="72">
        <v>0</v>
      </c>
      <c r="AW21" s="72"/>
      <c r="AX21" s="72"/>
      <c r="AY21" s="72"/>
      <c r="AZ21" s="72">
        <f t="shared" si="37"/>
        <v>0</v>
      </c>
      <c r="BA21" s="72">
        <v>0</v>
      </c>
      <c r="BB21" s="72"/>
      <c r="BC21" s="72"/>
      <c r="BD21" s="72"/>
      <c r="BE21" s="72">
        <f t="shared" si="38"/>
        <v>0</v>
      </c>
      <c r="BF21" s="72">
        <v>0</v>
      </c>
      <c r="BG21" s="72"/>
      <c r="BH21" s="72"/>
      <c r="BI21" s="72"/>
      <c r="BJ21" s="72">
        <f>(BE21+BF21)-(BG21+BH21+BI21)</f>
        <v>0</v>
      </c>
      <c r="BK21" s="72"/>
      <c r="BL21" s="72">
        <f>(BG21+BH21+BI21)+BK21-BE21</f>
        <v>0</v>
      </c>
      <c r="BM21" s="178"/>
      <c r="BN21" s="178"/>
    </row>
    <row r="22" spans="1:66" s="73" customFormat="1" ht="27" customHeight="1">
      <c r="A22" s="92" t="s">
        <v>298</v>
      </c>
      <c r="B22" s="93">
        <v>0</v>
      </c>
      <c r="C22" s="94">
        <v>1.92</v>
      </c>
      <c r="D22" s="94">
        <v>1.92</v>
      </c>
      <c r="E22" s="94"/>
      <c r="F22" s="94"/>
      <c r="G22" s="72">
        <f t="shared" si="28"/>
        <v>0</v>
      </c>
      <c r="H22" s="72">
        <v>0</v>
      </c>
      <c r="I22" s="72"/>
      <c r="J22" s="72"/>
      <c r="K22" s="72"/>
      <c r="L22" s="72">
        <f t="shared" si="29"/>
        <v>0</v>
      </c>
      <c r="M22" s="72">
        <v>1.4</v>
      </c>
      <c r="N22" s="72">
        <v>1.4</v>
      </c>
      <c r="O22" s="72"/>
      <c r="P22" s="72"/>
      <c r="Q22" s="72">
        <f t="shared" si="30"/>
        <v>0</v>
      </c>
      <c r="R22" s="72">
        <v>0</v>
      </c>
      <c r="S22" s="72"/>
      <c r="T22" s="72"/>
      <c r="U22" s="72"/>
      <c r="V22" s="72">
        <f t="shared" si="31"/>
        <v>0</v>
      </c>
      <c r="W22" s="72">
        <v>4.82</v>
      </c>
      <c r="X22" s="72">
        <v>4.82</v>
      </c>
      <c r="Y22" s="72"/>
      <c r="Z22" s="72"/>
      <c r="AA22" s="72">
        <f t="shared" si="32"/>
        <v>0</v>
      </c>
      <c r="AB22" s="72">
        <v>0</v>
      </c>
      <c r="AC22" s="72"/>
      <c r="AD22" s="72"/>
      <c r="AE22" s="72"/>
      <c r="AF22" s="72">
        <f t="shared" si="33"/>
        <v>0</v>
      </c>
      <c r="AG22" s="72">
        <v>1.52</v>
      </c>
      <c r="AH22" s="72">
        <v>1.52</v>
      </c>
      <c r="AI22" s="72"/>
      <c r="AJ22" s="72"/>
      <c r="AK22" s="72">
        <f t="shared" si="34"/>
        <v>0</v>
      </c>
      <c r="AL22" s="72">
        <v>0</v>
      </c>
      <c r="AM22" s="72"/>
      <c r="AN22" s="72"/>
      <c r="AO22" s="72"/>
      <c r="AP22" s="72">
        <f t="shared" si="35"/>
        <v>0</v>
      </c>
      <c r="AQ22" s="72">
        <v>1.68</v>
      </c>
      <c r="AR22" s="72">
        <v>1.68</v>
      </c>
      <c r="AS22" s="72"/>
      <c r="AT22" s="72"/>
      <c r="AU22" s="72">
        <f t="shared" si="36"/>
        <v>0</v>
      </c>
      <c r="AV22" s="72">
        <v>0</v>
      </c>
      <c r="AW22" s="72"/>
      <c r="AX22" s="72"/>
      <c r="AY22" s="72"/>
      <c r="AZ22" s="72">
        <f t="shared" si="37"/>
        <v>0</v>
      </c>
      <c r="BA22" s="72">
        <v>1.58</v>
      </c>
      <c r="BB22" s="72">
        <v>1.58</v>
      </c>
      <c r="BC22" s="72"/>
      <c r="BD22" s="72"/>
      <c r="BE22" s="72">
        <f t="shared" si="38"/>
        <v>0</v>
      </c>
      <c r="BF22" s="72">
        <v>1.42</v>
      </c>
      <c r="BG22" s="72">
        <v>1.42</v>
      </c>
      <c r="BH22" s="72"/>
      <c r="BI22" s="72"/>
      <c r="BJ22" s="72">
        <f t="shared" ref="BJ22:BJ29" si="39">(BE22+BF22)-(BG22+BH22+BI22)</f>
        <v>0</v>
      </c>
      <c r="BK22" s="72"/>
      <c r="BL22" s="72">
        <f t="shared" ref="BL22:BL29" si="40">(BG22+BH22+BI22)+BK22-BE22</f>
        <v>1.42</v>
      </c>
      <c r="BM22" s="178"/>
      <c r="BN22" s="178"/>
    </row>
    <row r="23" spans="1:66" s="73" customFormat="1" ht="34.5" customHeight="1">
      <c r="A23" s="92" t="s">
        <v>299</v>
      </c>
      <c r="B23" s="93">
        <v>0</v>
      </c>
      <c r="C23" s="94">
        <v>0.57999999999999996</v>
      </c>
      <c r="D23" s="94">
        <v>0.57999999999999996</v>
      </c>
      <c r="E23" s="94"/>
      <c r="F23" s="94"/>
      <c r="G23" s="72">
        <f t="shared" si="28"/>
        <v>0</v>
      </c>
      <c r="H23" s="72">
        <v>0</v>
      </c>
      <c r="I23" s="72"/>
      <c r="J23" s="72"/>
      <c r="K23" s="72"/>
      <c r="L23" s="72">
        <f t="shared" si="29"/>
        <v>0</v>
      </c>
      <c r="M23" s="72">
        <v>0.26</v>
      </c>
      <c r="N23" s="72">
        <v>0.26</v>
      </c>
      <c r="O23" s="72"/>
      <c r="P23" s="72"/>
      <c r="Q23" s="72">
        <f t="shared" si="30"/>
        <v>0</v>
      </c>
      <c r="R23" s="72">
        <v>0</v>
      </c>
      <c r="S23" s="72"/>
      <c r="T23" s="72"/>
      <c r="U23" s="72"/>
      <c r="V23" s="72">
        <f t="shared" si="31"/>
        <v>0</v>
      </c>
      <c r="W23" s="72">
        <v>0.42</v>
      </c>
      <c r="X23" s="72">
        <v>0.42</v>
      </c>
      <c r="Y23" s="72"/>
      <c r="Z23" s="72"/>
      <c r="AA23" s="72">
        <f t="shared" si="32"/>
        <v>0</v>
      </c>
      <c r="AB23" s="72">
        <v>0</v>
      </c>
      <c r="AC23" s="72"/>
      <c r="AD23" s="72"/>
      <c r="AE23" s="72"/>
      <c r="AF23" s="72">
        <f t="shared" si="33"/>
        <v>0</v>
      </c>
      <c r="AG23" s="72">
        <v>0.38</v>
      </c>
      <c r="AH23" s="72">
        <v>0.38</v>
      </c>
      <c r="AI23" s="72"/>
      <c r="AJ23" s="72"/>
      <c r="AK23" s="72">
        <f t="shared" si="34"/>
        <v>0</v>
      </c>
      <c r="AL23" s="72">
        <v>0.17699999999999999</v>
      </c>
      <c r="AM23" s="72">
        <v>0.17699999999999999</v>
      </c>
      <c r="AN23" s="72"/>
      <c r="AO23" s="72"/>
      <c r="AP23" s="72">
        <f t="shared" si="35"/>
        <v>0</v>
      </c>
      <c r="AQ23" s="72">
        <v>0.38</v>
      </c>
      <c r="AR23" s="72">
        <v>0.38</v>
      </c>
      <c r="AS23" s="72"/>
      <c r="AT23" s="72"/>
      <c r="AU23" s="72">
        <f t="shared" si="36"/>
        <v>0</v>
      </c>
      <c r="AV23" s="72">
        <v>0</v>
      </c>
      <c r="AW23" s="72"/>
      <c r="AX23" s="72"/>
      <c r="AY23" s="72"/>
      <c r="AZ23" s="72">
        <f t="shared" si="37"/>
        <v>0</v>
      </c>
      <c r="BA23" s="72">
        <v>0.22</v>
      </c>
      <c r="BB23" s="72">
        <v>0.22</v>
      </c>
      <c r="BC23" s="72"/>
      <c r="BD23" s="72"/>
      <c r="BE23" s="72">
        <f t="shared" si="38"/>
        <v>0</v>
      </c>
      <c r="BF23" s="72">
        <v>0.24</v>
      </c>
      <c r="BG23" s="72">
        <v>0.24</v>
      </c>
      <c r="BH23" s="72"/>
      <c r="BI23" s="72"/>
      <c r="BJ23" s="72">
        <f t="shared" si="39"/>
        <v>0</v>
      </c>
      <c r="BK23" s="72"/>
      <c r="BL23" s="72">
        <f t="shared" si="40"/>
        <v>0.24</v>
      </c>
      <c r="BM23" s="178"/>
      <c r="BN23" s="178"/>
    </row>
    <row r="24" spans="1:66" s="73" customFormat="1" ht="20.25" customHeight="1">
      <c r="A24" s="92" t="s">
        <v>300</v>
      </c>
      <c r="B24" s="93">
        <v>0</v>
      </c>
      <c r="C24" s="94">
        <v>0</v>
      </c>
      <c r="D24" s="94"/>
      <c r="E24" s="94"/>
      <c r="F24" s="94"/>
      <c r="G24" s="72">
        <f t="shared" si="28"/>
        <v>0</v>
      </c>
      <c r="H24" s="72">
        <v>0</v>
      </c>
      <c r="I24" s="72"/>
      <c r="J24" s="72"/>
      <c r="K24" s="72"/>
      <c r="L24" s="72">
        <f t="shared" si="29"/>
        <v>0</v>
      </c>
      <c r="M24" s="72">
        <v>0</v>
      </c>
      <c r="N24" s="72"/>
      <c r="O24" s="72"/>
      <c r="P24" s="72"/>
      <c r="Q24" s="72">
        <f t="shared" si="30"/>
        <v>0</v>
      </c>
      <c r="R24" s="72">
        <v>0</v>
      </c>
      <c r="S24" s="72"/>
      <c r="T24" s="72"/>
      <c r="U24" s="72"/>
      <c r="V24" s="72">
        <f t="shared" si="31"/>
        <v>0</v>
      </c>
      <c r="W24" s="72">
        <v>0</v>
      </c>
      <c r="X24" s="72"/>
      <c r="Y24" s="72"/>
      <c r="Z24" s="72"/>
      <c r="AA24" s="72">
        <f t="shared" si="32"/>
        <v>0</v>
      </c>
      <c r="AB24" s="210">
        <v>0</v>
      </c>
      <c r="AC24" s="81"/>
      <c r="AD24" s="210"/>
      <c r="AE24" s="210"/>
      <c r="AF24" s="72">
        <f t="shared" si="33"/>
        <v>0</v>
      </c>
      <c r="AG24" s="72">
        <v>0</v>
      </c>
      <c r="AH24" s="72"/>
      <c r="AI24" s="72"/>
      <c r="AJ24" s="72"/>
      <c r="AK24" s="72">
        <f t="shared" si="34"/>
        <v>0</v>
      </c>
      <c r="AL24" s="72">
        <v>0</v>
      </c>
      <c r="AM24" s="72"/>
      <c r="AN24" s="72"/>
      <c r="AO24" s="72"/>
      <c r="AP24" s="72">
        <f t="shared" si="35"/>
        <v>0</v>
      </c>
      <c r="AQ24" s="72">
        <v>0</v>
      </c>
      <c r="AR24" s="72"/>
      <c r="AS24" s="72"/>
      <c r="AT24" s="72"/>
      <c r="AU24" s="72">
        <f t="shared" si="36"/>
        <v>0</v>
      </c>
      <c r="AV24" s="72">
        <v>0</v>
      </c>
      <c r="AW24" s="72"/>
      <c r="AX24" s="72"/>
      <c r="AY24" s="72"/>
      <c r="AZ24" s="72">
        <f t="shared" si="37"/>
        <v>0</v>
      </c>
      <c r="BA24" s="72">
        <v>0</v>
      </c>
      <c r="BB24" s="72"/>
      <c r="BC24" s="72"/>
      <c r="BD24" s="72"/>
      <c r="BE24" s="72">
        <f t="shared" si="38"/>
        <v>0</v>
      </c>
      <c r="BF24" s="72">
        <v>0</v>
      </c>
      <c r="BG24" s="72"/>
      <c r="BH24" s="72"/>
      <c r="BI24" s="72"/>
      <c r="BJ24" s="72">
        <f t="shared" si="39"/>
        <v>0</v>
      </c>
      <c r="BK24" s="72"/>
      <c r="BL24" s="72">
        <f t="shared" si="40"/>
        <v>0</v>
      </c>
      <c r="BM24" s="178"/>
      <c r="BN24" s="178"/>
    </row>
    <row r="25" spans="1:66" s="73" customFormat="1" ht="27" customHeight="1">
      <c r="A25" s="92" t="s">
        <v>301</v>
      </c>
      <c r="B25" s="93">
        <v>4.0689999999999991</v>
      </c>
      <c r="C25" s="94">
        <v>0.05</v>
      </c>
      <c r="D25" s="94"/>
      <c r="E25" s="94"/>
      <c r="F25" s="94"/>
      <c r="G25" s="72">
        <f t="shared" si="28"/>
        <v>4.1189999999999989</v>
      </c>
      <c r="H25" s="72">
        <v>1.4647000000000001</v>
      </c>
      <c r="I25" s="72"/>
      <c r="J25" s="72"/>
      <c r="K25" s="72"/>
      <c r="L25" s="72">
        <f t="shared" si="29"/>
        <v>5.5836999999999986</v>
      </c>
      <c r="M25" s="72">
        <f>0.1545+2.76</f>
        <v>2.9144999999999999</v>
      </c>
      <c r="N25" s="72">
        <v>2.76</v>
      </c>
      <c r="O25" s="72"/>
      <c r="P25" s="72"/>
      <c r="Q25" s="72">
        <f t="shared" si="30"/>
        <v>5.7381999999999991</v>
      </c>
      <c r="R25" s="72">
        <v>0.1845</v>
      </c>
      <c r="S25" s="72"/>
      <c r="T25" s="72"/>
      <c r="U25" s="72"/>
      <c r="V25" s="72">
        <f t="shared" si="31"/>
        <v>5.922699999999999</v>
      </c>
      <c r="W25" s="72">
        <v>0.224</v>
      </c>
      <c r="X25" s="72"/>
      <c r="Y25" s="72"/>
      <c r="Z25" s="72"/>
      <c r="AA25" s="72">
        <f t="shared" si="32"/>
        <v>6.1466999999999992</v>
      </c>
      <c r="AB25" s="211">
        <v>0.33950000000000002</v>
      </c>
      <c r="AC25" s="72"/>
      <c r="AD25" s="72"/>
      <c r="AE25" s="72"/>
      <c r="AF25" s="72">
        <f t="shared" si="33"/>
        <v>6.4861999999999993</v>
      </c>
      <c r="AG25" s="72">
        <v>0.1462</v>
      </c>
      <c r="AH25" s="72"/>
      <c r="AI25" s="72"/>
      <c r="AJ25" s="72"/>
      <c r="AK25" s="72">
        <f t="shared" si="34"/>
        <v>6.6323999999999996</v>
      </c>
      <c r="AL25" s="72">
        <v>8.8999999999999996E-2</v>
      </c>
      <c r="AM25" s="72"/>
      <c r="AN25" s="72"/>
      <c r="AO25" s="72"/>
      <c r="AP25" s="72">
        <f t="shared" si="35"/>
        <v>6.7214</v>
      </c>
      <c r="AQ25" s="72">
        <v>0.372</v>
      </c>
      <c r="AR25" s="72"/>
      <c r="AS25" s="72"/>
      <c r="AT25" s="72"/>
      <c r="AU25" s="72">
        <f t="shared" si="36"/>
        <v>7.0933999999999999</v>
      </c>
      <c r="AV25" s="72">
        <v>0.16500000000000001</v>
      </c>
      <c r="AW25" s="72"/>
      <c r="AX25" s="72"/>
      <c r="AY25" s="72"/>
      <c r="AZ25" s="72">
        <f t="shared" si="37"/>
        <v>7.2584</v>
      </c>
      <c r="BA25" s="72">
        <f>0.094+4.8</f>
        <v>4.8940000000000001</v>
      </c>
      <c r="BB25" s="72">
        <v>4.8</v>
      </c>
      <c r="BC25" s="72"/>
      <c r="BD25" s="72"/>
      <c r="BE25" s="72">
        <f t="shared" si="38"/>
        <v>7.3524000000000003</v>
      </c>
      <c r="BF25" s="72">
        <v>0.08</v>
      </c>
      <c r="BG25" s="72"/>
      <c r="BH25" s="72"/>
      <c r="BI25" s="72"/>
      <c r="BJ25" s="72">
        <f t="shared" si="39"/>
        <v>7.4324000000000003</v>
      </c>
      <c r="BK25" s="72"/>
      <c r="BL25" s="72">
        <f t="shared" si="40"/>
        <v>-7.3524000000000003</v>
      </c>
      <c r="BM25" s="178"/>
      <c r="BN25" s="178"/>
    </row>
    <row r="26" spans="1:66" s="73" customFormat="1" ht="32.25" customHeight="1">
      <c r="A26" s="92" t="s">
        <v>302</v>
      </c>
      <c r="B26" s="93">
        <v>0</v>
      </c>
      <c r="C26" s="94">
        <v>0</v>
      </c>
      <c r="D26" s="94"/>
      <c r="E26" s="94"/>
      <c r="F26" s="94"/>
      <c r="G26" s="72">
        <f t="shared" si="28"/>
        <v>0</v>
      </c>
      <c r="H26" s="72">
        <v>0</v>
      </c>
      <c r="I26" s="72"/>
      <c r="J26" s="72"/>
      <c r="K26" s="72"/>
      <c r="L26" s="72">
        <f t="shared" si="29"/>
        <v>0</v>
      </c>
      <c r="M26" s="72">
        <v>0</v>
      </c>
      <c r="N26" s="72"/>
      <c r="O26" s="72"/>
      <c r="P26" s="72"/>
      <c r="Q26" s="72">
        <f t="shared" si="30"/>
        <v>0</v>
      </c>
      <c r="R26" s="72">
        <v>0</v>
      </c>
      <c r="S26" s="72"/>
      <c r="T26" s="72"/>
      <c r="U26" s="72"/>
      <c r="V26" s="72">
        <f t="shared" si="31"/>
        <v>0</v>
      </c>
      <c r="W26" s="72">
        <v>0</v>
      </c>
      <c r="X26" s="72"/>
      <c r="Y26" s="72"/>
      <c r="Z26" s="72"/>
      <c r="AA26" s="72">
        <f t="shared" si="32"/>
        <v>0</v>
      </c>
      <c r="AB26" s="72">
        <v>0</v>
      </c>
      <c r="AC26" s="72"/>
      <c r="AD26" s="72"/>
      <c r="AE26" s="72"/>
      <c r="AF26" s="72">
        <f t="shared" si="33"/>
        <v>0</v>
      </c>
      <c r="AG26" s="72">
        <v>0</v>
      </c>
      <c r="AH26" s="72"/>
      <c r="AI26" s="72"/>
      <c r="AJ26" s="72"/>
      <c r="AK26" s="72">
        <f t="shared" si="34"/>
        <v>0</v>
      </c>
      <c r="AL26" s="72">
        <v>0</v>
      </c>
      <c r="AM26" s="72"/>
      <c r="AN26" s="72"/>
      <c r="AO26" s="72"/>
      <c r="AP26" s="72">
        <f t="shared" si="35"/>
        <v>0</v>
      </c>
      <c r="AQ26" s="72">
        <v>0</v>
      </c>
      <c r="AR26" s="72"/>
      <c r="AS26" s="72"/>
      <c r="AT26" s="72"/>
      <c r="AU26" s="72">
        <f t="shared" si="36"/>
        <v>0</v>
      </c>
      <c r="AV26" s="72">
        <v>0</v>
      </c>
      <c r="AW26" s="72"/>
      <c r="AX26" s="72"/>
      <c r="AY26" s="72"/>
      <c r="AZ26" s="72">
        <f t="shared" si="37"/>
        <v>0</v>
      </c>
      <c r="BA26" s="72">
        <v>0</v>
      </c>
      <c r="BB26" s="72"/>
      <c r="BC26" s="72"/>
      <c r="BD26" s="72"/>
      <c r="BE26" s="72">
        <f t="shared" si="38"/>
        <v>0</v>
      </c>
      <c r="BF26" s="72">
        <v>0</v>
      </c>
      <c r="BG26" s="72"/>
      <c r="BH26" s="72"/>
      <c r="BI26" s="72"/>
      <c r="BJ26" s="72">
        <f t="shared" si="39"/>
        <v>0</v>
      </c>
      <c r="BK26" s="72"/>
      <c r="BL26" s="72">
        <f t="shared" si="40"/>
        <v>0</v>
      </c>
      <c r="BM26" s="178"/>
      <c r="BN26" s="178"/>
    </row>
    <row r="27" spans="1:66" s="73" customFormat="1" ht="15.75" customHeight="1">
      <c r="A27" s="106" t="s">
        <v>307</v>
      </c>
      <c r="B27" s="93">
        <v>1.8300999999999998</v>
      </c>
      <c r="C27" s="94">
        <v>0</v>
      </c>
      <c r="D27" s="94"/>
      <c r="E27" s="94"/>
      <c r="F27" s="94"/>
      <c r="G27" s="72">
        <f t="shared" si="28"/>
        <v>1.8300999999999998</v>
      </c>
      <c r="H27" s="72">
        <v>8.1000000000000003E-2</v>
      </c>
      <c r="I27" s="72"/>
      <c r="J27" s="72"/>
      <c r="K27" s="72"/>
      <c r="L27" s="72">
        <f t="shared" si="29"/>
        <v>1.9110999999999998</v>
      </c>
      <c r="M27" s="72"/>
      <c r="N27" s="72">
        <v>0</v>
      </c>
      <c r="O27" s="72"/>
      <c r="P27" s="72"/>
      <c r="Q27" s="72">
        <f t="shared" si="30"/>
        <v>1.9110999999999998</v>
      </c>
      <c r="R27" s="72">
        <v>0</v>
      </c>
      <c r="S27" s="72"/>
      <c r="T27" s="72"/>
      <c r="U27" s="72"/>
      <c r="V27" s="72">
        <f t="shared" si="31"/>
        <v>1.9110999999999998</v>
      </c>
      <c r="W27" s="72">
        <v>0</v>
      </c>
      <c r="X27" s="72"/>
      <c r="Y27" s="72"/>
      <c r="Z27" s="72"/>
      <c r="AA27" s="72">
        <f t="shared" si="32"/>
        <v>1.9110999999999998</v>
      </c>
      <c r="AB27" s="72">
        <v>0</v>
      </c>
      <c r="AC27" s="72"/>
      <c r="AD27" s="72"/>
      <c r="AE27" s="72"/>
      <c r="AF27" s="72">
        <f t="shared" si="33"/>
        <v>1.9110999999999998</v>
      </c>
      <c r="AG27" s="72">
        <v>0</v>
      </c>
      <c r="AH27" s="72"/>
      <c r="AI27" s="72"/>
      <c r="AJ27" s="72"/>
      <c r="AK27" s="72">
        <f t="shared" si="34"/>
        <v>1.9110999999999998</v>
      </c>
      <c r="AL27" s="72">
        <v>0</v>
      </c>
      <c r="AM27" s="72"/>
      <c r="AN27" s="72"/>
      <c r="AO27" s="72"/>
      <c r="AP27" s="72">
        <f t="shared" si="35"/>
        <v>1.9110999999999998</v>
      </c>
      <c r="AQ27" s="72">
        <v>0</v>
      </c>
      <c r="AR27" s="72"/>
      <c r="AS27" s="72"/>
      <c r="AT27" s="72"/>
      <c r="AU27" s="72">
        <f t="shared" si="36"/>
        <v>1.9110999999999998</v>
      </c>
      <c r="AV27" s="72">
        <v>0</v>
      </c>
      <c r="AW27" s="72"/>
      <c r="AX27" s="72"/>
      <c r="AY27" s="72"/>
      <c r="AZ27" s="72">
        <f t="shared" si="37"/>
        <v>1.9110999999999998</v>
      </c>
      <c r="BA27" s="72">
        <v>0</v>
      </c>
      <c r="BB27" s="72"/>
      <c r="BC27" s="72"/>
      <c r="BD27" s="72"/>
      <c r="BE27" s="72">
        <f t="shared" si="38"/>
        <v>1.9110999999999998</v>
      </c>
      <c r="BF27" s="72">
        <v>0</v>
      </c>
      <c r="BG27" s="72"/>
      <c r="BH27" s="72"/>
      <c r="BI27" s="72"/>
      <c r="BJ27" s="72">
        <f t="shared" si="39"/>
        <v>1.9110999999999998</v>
      </c>
      <c r="BK27" s="72"/>
      <c r="BL27" s="72">
        <f t="shared" si="40"/>
        <v>-1.9110999999999998</v>
      </c>
      <c r="BM27" s="178"/>
      <c r="BN27" s="178"/>
    </row>
    <row r="28" spans="1:66" s="73" customFormat="1" ht="20.25" customHeight="1">
      <c r="A28" s="106" t="s">
        <v>304</v>
      </c>
      <c r="B28" s="93">
        <v>0</v>
      </c>
      <c r="C28" s="213">
        <f>28280/1000</f>
        <v>28.28</v>
      </c>
      <c r="D28" s="213">
        <f>28280/1000</f>
        <v>28.28</v>
      </c>
      <c r="E28" s="94"/>
      <c r="F28" s="94"/>
      <c r="G28" s="72">
        <f t="shared" si="28"/>
        <v>0</v>
      </c>
      <c r="H28" s="72">
        <v>14.96</v>
      </c>
      <c r="I28" s="72">
        <v>14.96</v>
      </c>
      <c r="J28" s="72"/>
      <c r="K28" s="72"/>
      <c r="L28" s="72">
        <f t="shared" si="29"/>
        <v>0</v>
      </c>
      <c r="M28" s="72">
        <v>35</v>
      </c>
      <c r="N28" s="72">
        <v>35</v>
      </c>
      <c r="O28" s="72"/>
      <c r="P28" s="72"/>
      <c r="Q28" s="72">
        <f t="shared" si="30"/>
        <v>0</v>
      </c>
      <c r="R28" s="72">
        <v>0</v>
      </c>
      <c r="S28" s="72"/>
      <c r="T28" s="72"/>
      <c r="U28" s="72"/>
      <c r="V28" s="72">
        <f t="shared" si="31"/>
        <v>0</v>
      </c>
      <c r="W28" s="72">
        <v>43.04</v>
      </c>
      <c r="X28" s="72">
        <v>43.04</v>
      </c>
      <c r="Y28" s="72"/>
      <c r="Z28" s="72"/>
      <c r="AA28" s="72">
        <f t="shared" si="32"/>
        <v>0</v>
      </c>
      <c r="AB28" s="72">
        <v>9</v>
      </c>
      <c r="AC28" s="72">
        <v>9</v>
      </c>
      <c r="AD28" s="72"/>
      <c r="AE28" s="72"/>
      <c r="AF28" s="72">
        <f t="shared" si="33"/>
        <v>0</v>
      </c>
      <c r="AG28" s="72">
        <v>0</v>
      </c>
      <c r="AH28" s="72"/>
      <c r="AI28" s="72"/>
      <c r="AJ28" s="72"/>
      <c r="AK28" s="72">
        <f t="shared" si="34"/>
        <v>0</v>
      </c>
      <c r="AL28" s="72">
        <v>0</v>
      </c>
      <c r="AM28" s="72"/>
      <c r="AN28" s="72"/>
      <c r="AO28" s="72"/>
      <c r="AP28" s="72">
        <f t="shared" si="35"/>
        <v>0</v>
      </c>
      <c r="AQ28" s="72">
        <v>0</v>
      </c>
      <c r="AR28" s="72"/>
      <c r="AS28" s="72"/>
      <c r="AT28" s="72"/>
      <c r="AU28" s="72">
        <f t="shared" si="36"/>
        <v>0</v>
      </c>
      <c r="AV28" s="72">
        <v>0</v>
      </c>
      <c r="AW28" s="72"/>
      <c r="AX28" s="72"/>
      <c r="AY28" s="72"/>
      <c r="AZ28" s="72">
        <f t="shared" si="37"/>
        <v>0</v>
      </c>
      <c r="BA28" s="72">
        <v>0</v>
      </c>
      <c r="BB28" s="72"/>
      <c r="BC28" s="72"/>
      <c r="BD28" s="72"/>
      <c r="BE28" s="72">
        <f t="shared" si="38"/>
        <v>0</v>
      </c>
      <c r="BF28" s="72">
        <v>0</v>
      </c>
      <c r="BG28" s="72"/>
      <c r="BH28" s="72"/>
      <c r="BI28" s="72"/>
      <c r="BJ28" s="72">
        <f t="shared" si="39"/>
        <v>0</v>
      </c>
      <c r="BK28" s="72"/>
      <c r="BL28" s="72">
        <f t="shared" si="40"/>
        <v>0</v>
      </c>
      <c r="BM28" s="178"/>
      <c r="BN28" s="178"/>
    </row>
    <row r="29" spans="1:66" s="95" customFormat="1">
      <c r="A29" s="92" t="s">
        <v>415</v>
      </c>
      <c r="B29" s="93">
        <v>0</v>
      </c>
      <c r="C29" s="94">
        <v>0</v>
      </c>
      <c r="D29" s="94"/>
      <c r="E29" s="94"/>
      <c r="F29" s="94"/>
      <c r="G29" s="72">
        <f t="shared" si="28"/>
        <v>0</v>
      </c>
      <c r="H29" s="72"/>
      <c r="I29" s="72"/>
      <c r="J29" s="72"/>
      <c r="K29" s="72"/>
      <c r="L29" s="72">
        <f t="shared" si="29"/>
        <v>0</v>
      </c>
      <c r="M29" s="72">
        <v>3.34</v>
      </c>
      <c r="N29" s="72">
        <v>3.34</v>
      </c>
      <c r="O29" s="72"/>
      <c r="P29" s="72"/>
      <c r="Q29" s="72">
        <f t="shared" si="30"/>
        <v>0</v>
      </c>
      <c r="R29" s="72">
        <v>0</v>
      </c>
      <c r="S29" s="72"/>
      <c r="T29" s="72"/>
      <c r="U29" s="72"/>
      <c r="V29" s="72">
        <f t="shared" si="31"/>
        <v>0</v>
      </c>
      <c r="W29" s="72">
        <v>0</v>
      </c>
      <c r="X29" s="72"/>
      <c r="Y29" s="72"/>
      <c r="Z29" s="72"/>
      <c r="AA29" s="72">
        <f t="shared" si="32"/>
        <v>0</v>
      </c>
      <c r="AB29" s="72">
        <v>1</v>
      </c>
      <c r="AC29" s="72">
        <v>1</v>
      </c>
      <c r="AD29" s="72"/>
      <c r="AE29" s="72"/>
      <c r="AF29" s="72">
        <f t="shared" si="33"/>
        <v>0</v>
      </c>
      <c r="AG29" s="72">
        <v>0</v>
      </c>
      <c r="AH29" s="72"/>
      <c r="AI29" s="72"/>
      <c r="AJ29" s="72"/>
      <c r="AK29" s="72">
        <f t="shared" si="34"/>
        <v>0</v>
      </c>
      <c r="AL29" s="72">
        <v>0</v>
      </c>
      <c r="AM29" s="72"/>
      <c r="AN29" s="72"/>
      <c r="AO29" s="72"/>
      <c r="AP29" s="72">
        <f t="shared" si="35"/>
        <v>0</v>
      </c>
      <c r="AQ29" s="72">
        <v>0</v>
      </c>
      <c r="AR29" s="72"/>
      <c r="AS29" s="72"/>
      <c r="AT29" s="72"/>
      <c r="AU29" s="72">
        <f t="shared" si="36"/>
        <v>0</v>
      </c>
      <c r="AV29" s="72">
        <v>0</v>
      </c>
      <c r="AW29" s="72"/>
      <c r="AX29" s="72"/>
      <c r="AY29" s="72"/>
      <c r="AZ29" s="72">
        <f t="shared" si="37"/>
        <v>0</v>
      </c>
      <c r="BA29" s="72">
        <v>0</v>
      </c>
      <c r="BB29" s="72"/>
      <c r="BC29" s="72"/>
      <c r="BD29" s="72"/>
      <c r="BE29" s="72">
        <f t="shared" si="38"/>
        <v>0</v>
      </c>
      <c r="BF29" s="72"/>
      <c r="BG29" s="72"/>
      <c r="BH29" s="72"/>
      <c r="BI29" s="72"/>
      <c r="BJ29" s="72">
        <f t="shared" si="39"/>
        <v>0</v>
      </c>
      <c r="BK29" s="72"/>
      <c r="BL29" s="72">
        <f t="shared" si="40"/>
        <v>0</v>
      </c>
      <c r="BM29" s="86">
        <f>C29+H29+M29+R29+W29+AB29+AG29+AL29+AQ29+AV29+BA29+BF29</f>
        <v>4.34</v>
      </c>
      <c r="BN29" s="86">
        <f>F29+K29+P29+U29+Z29+AE29+AJ29+AO29+AT29+AY29+BD29+BI29</f>
        <v>0</v>
      </c>
    </row>
    <row r="30" spans="1:66" s="73" customFormat="1" ht="20.25" customHeight="1">
      <c r="A30" s="72" t="s">
        <v>222</v>
      </c>
      <c r="B30" s="72">
        <f t="shared" ref="B30:AG30" si="41">SUM(B20:B29)</f>
        <v>5.8990999999999989</v>
      </c>
      <c r="C30" s="72">
        <f t="shared" si="41"/>
        <v>99.61</v>
      </c>
      <c r="D30" s="72">
        <f t="shared" si="41"/>
        <v>99.56</v>
      </c>
      <c r="E30" s="72">
        <f t="shared" si="41"/>
        <v>0</v>
      </c>
      <c r="F30" s="72">
        <f t="shared" si="41"/>
        <v>0</v>
      </c>
      <c r="G30" s="72">
        <f t="shared" si="41"/>
        <v>5.9490999999999987</v>
      </c>
      <c r="H30" s="72">
        <f t="shared" si="41"/>
        <v>211.70569999999998</v>
      </c>
      <c r="I30" s="72">
        <f t="shared" si="41"/>
        <v>14.96</v>
      </c>
      <c r="J30" s="72">
        <f t="shared" si="41"/>
        <v>195.2</v>
      </c>
      <c r="K30" s="72">
        <f t="shared" si="41"/>
        <v>0</v>
      </c>
      <c r="L30" s="72">
        <f t="shared" si="41"/>
        <v>7.4947999999999979</v>
      </c>
      <c r="M30" s="72">
        <f t="shared" si="41"/>
        <v>42.914500000000004</v>
      </c>
      <c r="N30" s="72">
        <f t="shared" si="41"/>
        <v>42.760000000000005</v>
      </c>
      <c r="O30" s="72">
        <f t="shared" si="41"/>
        <v>0</v>
      </c>
      <c r="P30" s="72">
        <f t="shared" si="41"/>
        <v>0</v>
      </c>
      <c r="Q30" s="72">
        <f t="shared" si="41"/>
        <v>7.6492999999999984</v>
      </c>
      <c r="R30" s="72">
        <f t="shared" si="41"/>
        <v>0.1845</v>
      </c>
      <c r="S30" s="72">
        <f t="shared" si="41"/>
        <v>0</v>
      </c>
      <c r="T30" s="72">
        <f t="shared" si="41"/>
        <v>0</v>
      </c>
      <c r="U30" s="72">
        <f t="shared" si="41"/>
        <v>0</v>
      </c>
      <c r="V30" s="72">
        <f t="shared" si="41"/>
        <v>7.8337999999999983</v>
      </c>
      <c r="W30" s="72">
        <f t="shared" si="41"/>
        <v>48.503999999999998</v>
      </c>
      <c r="X30" s="72">
        <f t="shared" si="41"/>
        <v>48.28</v>
      </c>
      <c r="Y30" s="72">
        <f t="shared" si="41"/>
        <v>0</v>
      </c>
      <c r="Z30" s="72">
        <f t="shared" si="41"/>
        <v>0</v>
      </c>
      <c r="AA30" s="72">
        <f t="shared" si="41"/>
        <v>8.0577999999999985</v>
      </c>
      <c r="AB30" s="72">
        <f t="shared" si="41"/>
        <v>10.339499999999999</v>
      </c>
      <c r="AC30" s="72">
        <f t="shared" si="41"/>
        <v>10</v>
      </c>
      <c r="AD30" s="72">
        <f t="shared" si="41"/>
        <v>0</v>
      </c>
      <c r="AE30" s="72">
        <f t="shared" si="41"/>
        <v>0</v>
      </c>
      <c r="AF30" s="72">
        <f t="shared" si="41"/>
        <v>8.3972999999999995</v>
      </c>
      <c r="AG30" s="72">
        <f t="shared" si="41"/>
        <v>2.0461999999999998</v>
      </c>
      <c r="AH30" s="72">
        <f t="shared" ref="AH30:BL30" si="42">SUM(AH20:AH29)</f>
        <v>1.9</v>
      </c>
      <c r="AI30" s="72">
        <f t="shared" si="42"/>
        <v>0</v>
      </c>
      <c r="AJ30" s="72">
        <f t="shared" si="42"/>
        <v>0</v>
      </c>
      <c r="AK30" s="72">
        <f t="shared" si="42"/>
        <v>8.5434999999999999</v>
      </c>
      <c r="AL30" s="72">
        <f t="shared" si="42"/>
        <v>0.26600000000000001</v>
      </c>
      <c r="AM30" s="72">
        <f t="shared" si="42"/>
        <v>0.17699999999999999</v>
      </c>
      <c r="AN30" s="72">
        <f t="shared" si="42"/>
        <v>0</v>
      </c>
      <c r="AO30" s="72">
        <f t="shared" si="42"/>
        <v>0</v>
      </c>
      <c r="AP30" s="72">
        <f t="shared" si="42"/>
        <v>8.6325000000000003</v>
      </c>
      <c r="AQ30" s="72">
        <f t="shared" si="42"/>
        <v>2.4319999999999999</v>
      </c>
      <c r="AR30" s="72">
        <f t="shared" si="42"/>
        <v>2.06</v>
      </c>
      <c r="AS30" s="72">
        <f t="shared" si="42"/>
        <v>0</v>
      </c>
      <c r="AT30" s="72">
        <f t="shared" si="42"/>
        <v>0</v>
      </c>
      <c r="AU30" s="72">
        <f t="shared" si="42"/>
        <v>9.0045000000000002</v>
      </c>
      <c r="AV30" s="72">
        <f t="shared" si="42"/>
        <v>0.16500000000000001</v>
      </c>
      <c r="AW30" s="72">
        <f t="shared" si="42"/>
        <v>0</v>
      </c>
      <c r="AX30" s="72">
        <f t="shared" si="42"/>
        <v>0</v>
      </c>
      <c r="AY30" s="72">
        <f t="shared" si="42"/>
        <v>0</v>
      </c>
      <c r="AZ30" s="72">
        <f t="shared" si="42"/>
        <v>9.1694999999999993</v>
      </c>
      <c r="BA30" s="72">
        <f t="shared" si="42"/>
        <v>6.694</v>
      </c>
      <c r="BB30" s="72">
        <f t="shared" si="42"/>
        <v>6.6</v>
      </c>
      <c r="BC30" s="72">
        <f t="shared" si="42"/>
        <v>0</v>
      </c>
      <c r="BD30" s="72">
        <f t="shared" si="42"/>
        <v>0</v>
      </c>
      <c r="BE30" s="72">
        <f t="shared" si="42"/>
        <v>9.2635000000000005</v>
      </c>
      <c r="BF30" s="72">
        <f t="shared" si="42"/>
        <v>1.74</v>
      </c>
      <c r="BG30" s="72">
        <f t="shared" si="42"/>
        <v>1.66</v>
      </c>
      <c r="BH30" s="72">
        <f t="shared" si="42"/>
        <v>0</v>
      </c>
      <c r="BI30" s="72">
        <f t="shared" si="42"/>
        <v>0</v>
      </c>
      <c r="BJ30" s="72">
        <f t="shared" si="42"/>
        <v>9.3435000000000006</v>
      </c>
      <c r="BK30" s="72">
        <f t="shared" si="42"/>
        <v>0</v>
      </c>
      <c r="BL30" s="72">
        <f t="shared" si="42"/>
        <v>-7.6035000000000004</v>
      </c>
      <c r="BM30" s="86">
        <f>C30+H30+M30+R30+W30+AB30+AG30+AL30+AQ30+AV30+BA30+BF30</f>
        <v>426.60140000000007</v>
      </c>
      <c r="BN30" s="86">
        <f>F30+K30+P30+U30+Z30+AE30+AJ30+AO30+AT30+AY30+BD30+BI30</f>
        <v>0</v>
      </c>
    </row>
    <row r="31" spans="1:66" s="90" customFormat="1" ht="20.25" customHeight="1">
      <c r="A31" s="102" t="s">
        <v>223</v>
      </c>
      <c r="B31" s="103"/>
      <c r="C31" s="104">
        <f>C30*1000/'Production, Raw Mat'!C$5</f>
        <v>10.36531896014654</v>
      </c>
      <c r="D31" s="103"/>
      <c r="E31" s="103"/>
      <c r="F31" s="104">
        <f>F30*1000/'Production, Raw Mat'!C$5</f>
        <v>0</v>
      </c>
      <c r="G31" s="103"/>
      <c r="H31" s="104">
        <f>H30*1000/'Production, Raw Mat'!D$5</f>
        <v>33.550393764627273</v>
      </c>
      <c r="I31" s="103"/>
      <c r="J31" s="103"/>
      <c r="K31" s="104">
        <f>K30*1000/'Production, Raw Mat'!D$5</f>
        <v>0</v>
      </c>
      <c r="L31" s="103"/>
      <c r="M31" s="104">
        <f>M30*1000/'Production, Raw Mat'!E$5</f>
        <v>2.4200397119336992</v>
      </c>
      <c r="N31" s="103"/>
      <c r="O31" s="103"/>
      <c r="P31" s="104">
        <f>P30*1000/'Production, Raw Mat'!E$5</f>
        <v>0</v>
      </c>
      <c r="Q31" s="103"/>
      <c r="R31" s="104">
        <f>R30*1000/'Production, Raw Mat'!F$5</f>
        <v>1.1680574932290466E-2</v>
      </c>
      <c r="S31" s="103"/>
      <c r="T31" s="103"/>
      <c r="U31" s="104">
        <f>U30*1000/'Production, Raw Mat'!F$5</f>
        <v>0</v>
      </c>
      <c r="V31" s="103"/>
      <c r="W31" s="104">
        <f>W30*1000/'Production, Raw Mat'!G$5</f>
        <v>3.0142060368209052</v>
      </c>
      <c r="X31" s="103"/>
      <c r="Y31" s="103"/>
      <c r="Z31" s="104">
        <f>Z30*1000/'Production, Raw Mat'!G$5</f>
        <v>0</v>
      </c>
      <c r="AA31" s="103"/>
      <c r="AB31" s="104">
        <f>AB30*1000/'Production, Raw Mat'!H$5</f>
        <v>0.63014931878570246</v>
      </c>
      <c r="AC31" s="103"/>
      <c r="AD31" s="103"/>
      <c r="AE31" s="104">
        <f>AE30*1000/'Production, Raw Mat'!H$5</f>
        <v>0</v>
      </c>
      <c r="AF31" s="103"/>
      <c r="AG31" s="104">
        <f>AG30*1000/'Production, Raw Mat'!I$5</f>
        <v>0.1108791642353216</v>
      </c>
      <c r="AH31" s="103"/>
      <c r="AI31" s="103"/>
      <c r="AJ31" s="104">
        <f>AJ30*1000/'Production, Raw Mat'!I$5</f>
        <v>0</v>
      </c>
      <c r="AK31" s="103"/>
      <c r="AL31" s="104">
        <f>AL30*1000/'Production, Raw Mat'!J$5</f>
        <v>1.6440425147487205E-2</v>
      </c>
      <c r="AM31" s="103"/>
      <c r="AN31" s="103"/>
      <c r="AO31" s="104">
        <f>AO30*1000/'Production, Raw Mat'!J$5</f>
        <v>0</v>
      </c>
      <c r="AP31" s="103"/>
      <c r="AQ31" s="104">
        <f>AQ30*1000/'Production, Raw Mat'!K$5</f>
        <v>0.20038296271214395</v>
      </c>
      <c r="AR31" s="103"/>
      <c r="AS31" s="103"/>
      <c r="AT31" s="104">
        <f>AT30*1000/'Production, Raw Mat'!K$5</f>
        <v>0</v>
      </c>
      <c r="AU31" s="103"/>
      <c r="AV31" s="104">
        <f>AV30*1000/'Production, Raw Mat'!L$5</f>
        <v>1.3237232399310066E-2</v>
      </c>
      <c r="AW31" s="103"/>
      <c r="AX31" s="103"/>
      <c r="AY31" s="104">
        <f>AY30*1000/'Production, Raw Mat'!L$5</f>
        <v>0</v>
      </c>
      <c r="AZ31" s="103"/>
      <c r="BA31" s="104">
        <f>BA30*1000/'Production, Raw Mat'!M$5</f>
        <v>0.54316138776858247</v>
      </c>
      <c r="BB31" s="103"/>
      <c r="BC31" s="103"/>
      <c r="BD31" s="104">
        <f>BD30*1000/'Production, Raw Mat'!M$5</f>
        <v>0</v>
      </c>
      <c r="BE31" s="103"/>
      <c r="BF31" s="104">
        <f>BF30*1000/'Production, Raw Mat'!R$5</f>
        <v>3.7202767193382377E-2</v>
      </c>
      <c r="BG31" s="103"/>
      <c r="BH31" s="103"/>
      <c r="BI31" s="104">
        <f>BI30*1000/'Production, Raw Mat'!N$5</f>
        <v>0</v>
      </c>
      <c r="BJ31" s="103"/>
      <c r="BK31" s="103"/>
      <c r="BL31" s="104">
        <f>BL30*1000/'Production, Raw Mat'!N$5</f>
        <v>-0.47510186830876677</v>
      </c>
      <c r="BM31" s="179">
        <f>BM30*1000/'Production, Raw Mat'!$O$5</f>
        <v>2.5166458264308957</v>
      </c>
      <c r="BN31" s="179">
        <f>BN30*1000/'Production, Raw Mat'!$O$5</f>
        <v>0</v>
      </c>
    </row>
    <row r="32" spans="1:66" s="73" customFormat="1" ht="20.25" customHeight="1"/>
  </sheetData>
  <mergeCells count="110">
    <mergeCell ref="BM2:BN2"/>
    <mergeCell ref="BM3:BM4"/>
    <mergeCell ref="BN3:BN4"/>
    <mergeCell ref="BM17:BN17"/>
    <mergeCell ref="BM18:BM19"/>
    <mergeCell ref="BN18:BN19"/>
    <mergeCell ref="BG18:BI18"/>
    <mergeCell ref="BJ18:BJ19"/>
    <mergeCell ref="BK18:BK19"/>
    <mergeCell ref="BL18:BL19"/>
    <mergeCell ref="BK3:BK4"/>
    <mergeCell ref="BL3:BL4"/>
    <mergeCell ref="BE2:BL2"/>
    <mergeCell ref="BE3:BE4"/>
    <mergeCell ref="BF3:BF4"/>
    <mergeCell ref="BG3:BI3"/>
    <mergeCell ref="BJ3:BJ4"/>
    <mergeCell ref="AZ18:AZ19"/>
    <mergeCell ref="BA18:BA19"/>
    <mergeCell ref="BB18:BD18"/>
    <mergeCell ref="BE18:BE19"/>
    <mergeCell ref="BF18:BF19"/>
    <mergeCell ref="AM18:AO18"/>
    <mergeCell ref="AP18:AP19"/>
    <mergeCell ref="AQ18:AQ19"/>
    <mergeCell ref="AR18:AT18"/>
    <mergeCell ref="AU18:AU19"/>
    <mergeCell ref="AV18:AV19"/>
    <mergeCell ref="AL18:AL19"/>
    <mergeCell ref="AG3:AG4"/>
    <mergeCell ref="AH3:AJ3"/>
    <mergeCell ref="AK17:AO17"/>
    <mergeCell ref="AC3:AE3"/>
    <mergeCell ref="AF3:AF4"/>
    <mergeCell ref="AW18:AY18"/>
    <mergeCell ref="AP17:AT17"/>
    <mergeCell ref="AU17:AY17"/>
    <mergeCell ref="AQ3:AQ4"/>
    <mergeCell ref="AR3:AT3"/>
    <mergeCell ref="AU3:AU4"/>
    <mergeCell ref="AV3:AV4"/>
    <mergeCell ref="AW3:AY3"/>
    <mergeCell ref="AZ17:BD17"/>
    <mergeCell ref="BE17:BL17"/>
    <mergeCell ref="B18:B19"/>
    <mergeCell ref="C18:C19"/>
    <mergeCell ref="D18:F18"/>
    <mergeCell ref="G18:G19"/>
    <mergeCell ref="H18:H19"/>
    <mergeCell ref="S18:U18"/>
    <mergeCell ref="V18:V19"/>
    <mergeCell ref="W18:W19"/>
    <mergeCell ref="X18:Z18"/>
    <mergeCell ref="AA18:AA19"/>
    <mergeCell ref="AB18:AB19"/>
    <mergeCell ref="I18:K18"/>
    <mergeCell ref="L18:L19"/>
    <mergeCell ref="M18:M19"/>
    <mergeCell ref="N18:P18"/>
    <mergeCell ref="Q18:Q19"/>
    <mergeCell ref="R18:R19"/>
    <mergeCell ref="AC18:AE18"/>
    <mergeCell ref="AF18:AF19"/>
    <mergeCell ref="AG18:AG19"/>
    <mergeCell ref="AH18:AJ18"/>
    <mergeCell ref="AK18:AK19"/>
    <mergeCell ref="A17:A19"/>
    <mergeCell ref="B17:F17"/>
    <mergeCell ref="G17:K17"/>
    <mergeCell ref="L17:P17"/>
    <mergeCell ref="Q17:U17"/>
    <mergeCell ref="V17:Z17"/>
    <mergeCell ref="AA17:AE17"/>
    <mergeCell ref="AF17:AJ17"/>
    <mergeCell ref="BA3:BA4"/>
    <mergeCell ref="B3:B4"/>
    <mergeCell ref="C3:C4"/>
    <mergeCell ref="D3:F3"/>
    <mergeCell ref="G3:G4"/>
    <mergeCell ref="H3:H4"/>
    <mergeCell ref="I3:K3"/>
    <mergeCell ref="L3:L4"/>
    <mergeCell ref="M3:M4"/>
    <mergeCell ref="N3:P3"/>
    <mergeCell ref="W3:W4"/>
    <mergeCell ref="X3:Z3"/>
    <mergeCell ref="A2:A4"/>
    <mergeCell ref="B2:F2"/>
    <mergeCell ref="G2:K2"/>
    <mergeCell ref="L2:P2"/>
    <mergeCell ref="AZ3:AZ4"/>
    <mergeCell ref="AP2:AT2"/>
    <mergeCell ref="AU2:AY2"/>
    <mergeCell ref="AZ2:BD2"/>
    <mergeCell ref="AK3:AK4"/>
    <mergeCell ref="AL3:AL4"/>
    <mergeCell ref="AM3:AO3"/>
    <mergeCell ref="AP3:AP4"/>
    <mergeCell ref="AA3:AA4"/>
    <mergeCell ref="AB3:AB4"/>
    <mergeCell ref="BB3:BD3"/>
    <mergeCell ref="Q2:U2"/>
    <mergeCell ref="V2:Z2"/>
    <mergeCell ref="Q3:Q4"/>
    <mergeCell ref="R3:R4"/>
    <mergeCell ref="S3:U3"/>
    <mergeCell ref="V3:V4"/>
    <mergeCell ref="AA2:AE2"/>
    <mergeCell ref="AF2:AJ2"/>
    <mergeCell ref="AK2:AO2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00B0F0"/>
  </sheetPr>
  <dimension ref="A1:DL55"/>
  <sheetViews>
    <sheetView zoomScale="90" zoomScaleNormal="90" workbookViewId="0">
      <pane xSplit="3" ySplit="2" topLeftCell="CJ36" activePane="bottomRight" state="frozen"/>
      <selection pane="topRight" activeCell="D1" sqref="D1"/>
      <selection pane="bottomLeft" activeCell="A3" sqref="A3"/>
      <selection pane="bottomRight" activeCell="DD64" sqref="DD64"/>
    </sheetView>
  </sheetViews>
  <sheetFormatPr defaultColWidth="8.7109375" defaultRowHeight="12"/>
  <cols>
    <col min="1" max="1" width="21.28515625" style="32" customWidth="1"/>
    <col min="2" max="2" width="12" style="32" customWidth="1"/>
    <col min="3" max="3" width="3.5703125" style="32" customWidth="1"/>
    <col min="4" max="4" width="9.42578125" style="32" customWidth="1"/>
    <col min="5" max="6" width="4.5703125" style="32" customWidth="1"/>
    <col min="7" max="7" width="5.140625" style="32" bestFit="1" customWidth="1"/>
    <col min="8" max="8" width="12.42578125" style="32" customWidth="1"/>
    <col min="9" max="9" width="7" style="32" customWidth="1"/>
    <col min="10" max="10" width="8.28515625" style="32" customWidth="1"/>
    <col min="11" max="11" width="7.42578125" style="32" customWidth="1"/>
    <col min="12" max="12" width="10.7109375" style="32" customWidth="1"/>
    <col min="13" max="13" width="9.85546875" style="32" customWidth="1"/>
    <col min="14" max="15" width="4.5703125" style="32" customWidth="1"/>
    <col min="16" max="16" width="4.28515625" style="32" customWidth="1"/>
    <col min="17" max="17" width="9.28515625" style="32" customWidth="1"/>
    <col min="18" max="18" width="7" style="32" customWidth="1"/>
    <col min="19" max="19" width="6.42578125" style="32" customWidth="1"/>
    <col min="20" max="20" width="4.7109375" style="32" customWidth="1"/>
    <col min="21" max="21" width="9.28515625" style="32" customWidth="1"/>
    <col min="22" max="22" width="8.7109375" style="32" customWidth="1"/>
    <col min="23" max="24" width="4.5703125" style="32" customWidth="1"/>
    <col min="25" max="25" width="4.28515625" style="32" customWidth="1"/>
    <col min="26" max="26" width="8.42578125" style="32" customWidth="1"/>
    <col min="27" max="27" width="7" style="32" customWidth="1"/>
    <col min="28" max="29" width="6.42578125" style="32" customWidth="1"/>
    <col min="30" max="30" width="10" style="32" customWidth="1"/>
    <col min="31" max="31" width="8.7109375" style="32" customWidth="1"/>
    <col min="32" max="33" width="4.5703125" style="32" customWidth="1"/>
    <col min="34" max="34" width="4.28515625" style="32" customWidth="1"/>
    <col min="35" max="35" width="9.85546875" style="32" customWidth="1"/>
    <col min="36" max="36" width="7" style="32" customWidth="1"/>
    <col min="37" max="37" width="6.42578125" style="32" customWidth="1"/>
    <col min="38" max="38" width="4.7109375" style="32" customWidth="1"/>
    <col min="39" max="39" width="10.42578125" style="32" bestFit="1" customWidth="1"/>
    <col min="40" max="40" width="8.7109375" style="32" customWidth="1"/>
    <col min="41" max="42" width="4.5703125" style="32" customWidth="1"/>
    <col min="43" max="43" width="4.28515625" style="32" customWidth="1"/>
    <col min="44" max="44" width="8.7109375" style="32" customWidth="1"/>
    <col min="45" max="45" width="7" style="32" customWidth="1"/>
    <col min="46" max="46" width="6.42578125" style="32" customWidth="1"/>
    <col min="47" max="47" width="4.7109375" style="32" customWidth="1"/>
    <col min="48" max="48" width="10.140625" style="32" customWidth="1"/>
    <col min="49" max="49" width="8.7109375" style="32" customWidth="1"/>
    <col min="50" max="51" width="4.5703125" style="32" customWidth="1"/>
    <col min="52" max="52" width="4.28515625" style="32" customWidth="1"/>
    <col min="53" max="53" width="8.85546875" style="32" customWidth="1"/>
    <col min="54" max="54" width="7" style="32" customWidth="1"/>
    <col min="55" max="55" width="6.42578125" style="32" customWidth="1"/>
    <col min="56" max="56" width="4.7109375" style="32" customWidth="1"/>
    <col min="57" max="57" width="10.140625" style="32" customWidth="1"/>
    <col min="58" max="58" width="8.7109375" style="32" customWidth="1"/>
    <col min="59" max="60" width="4.5703125" style="32" customWidth="1"/>
    <col min="61" max="61" width="4.28515625" style="32" customWidth="1"/>
    <col min="62" max="62" width="8.5703125" style="32" customWidth="1"/>
    <col min="63" max="63" width="7" style="32" customWidth="1"/>
    <col min="64" max="65" width="6.42578125" style="32" customWidth="1"/>
    <col min="66" max="66" width="10.42578125" style="32" bestFit="1" customWidth="1"/>
    <col min="67" max="67" width="8.7109375" style="32" customWidth="1"/>
    <col min="68" max="69" width="4.5703125" style="32" customWidth="1"/>
    <col min="70" max="70" width="4.28515625" style="32" customWidth="1"/>
    <col min="71" max="71" width="9.42578125" style="32" customWidth="1"/>
    <col min="72" max="72" width="7" style="32" customWidth="1"/>
    <col min="73" max="73" width="6.42578125" style="32" customWidth="1"/>
    <col min="74" max="74" width="4.7109375" style="32" customWidth="1"/>
    <col min="75" max="75" width="10.42578125" style="32" bestFit="1" customWidth="1"/>
    <col min="76" max="76" width="8.7109375" style="32" customWidth="1"/>
    <col min="77" max="78" width="4.5703125" style="32" customWidth="1"/>
    <col min="79" max="79" width="4.28515625" style="32" customWidth="1"/>
    <col min="80" max="80" width="9.28515625" style="32" customWidth="1"/>
    <col min="81" max="81" width="7" style="32" customWidth="1"/>
    <col min="82" max="82" width="6.42578125" style="32" customWidth="1"/>
    <col min="83" max="83" width="4.7109375" style="32" customWidth="1"/>
    <col min="84" max="84" width="11.7109375" style="32" customWidth="1"/>
    <col min="85" max="85" width="8.7109375" style="32" customWidth="1"/>
    <col min="86" max="87" width="4.5703125" style="32" customWidth="1"/>
    <col min="88" max="88" width="4.28515625" style="32" customWidth="1"/>
    <col min="89" max="89" width="8.5703125" style="32" customWidth="1"/>
    <col min="90" max="90" width="7" style="32" customWidth="1"/>
    <col min="91" max="91" width="6.42578125" style="32" customWidth="1"/>
    <col min="92" max="92" width="4.7109375" style="32" customWidth="1"/>
    <col min="93" max="93" width="13.7109375" style="32" customWidth="1"/>
    <col min="94" max="94" width="8.7109375" style="32" customWidth="1"/>
    <col min="95" max="96" width="4.5703125" style="32" customWidth="1"/>
    <col min="97" max="97" width="4.28515625" style="32" customWidth="1"/>
    <col min="98" max="98" width="8.85546875" style="32" customWidth="1"/>
    <col min="99" max="99" width="7" style="32" customWidth="1"/>
    <col min="100" max="100" width="6.42578125" style="32" customWidth="1"/>
    <col min="101" max="101" width="4.7109375" style="32" customWidth="1"/>
    <col min="102" max="102" width="16.42578125" style="32" customWidth="1"/>
    <col min="103" max="103" width="8.7109375" style="32" customWidth="1"/>
    <col min="104" max="105" width="4.5703125" style="32" customWidth="1"/>
    <col min="106" max="106" width="4.28515625" style="32" customWidth="1"/>
    <col min="107" max="107" width="8.5703125" style="32" customWidth="1"/>
    <col min="108" max="108" width="7" style="32" customWidth="1"/>
    <col min="109" max="109" width="6.42578125" style="32" customWidth="1"/>
    <col min="110" max="110" width="4.7109375" style="32" customWidth="1"/>
    <col min="111" max="111" width="9.42578125" style="32" customWidth="1"/>
    <col min="112" max="112" width="10.42578125" style="32" customWidth="1"/>
    <col min="113" max="16384" width="8.7109375" style="32"/>
  </cols>
  <sheetData>
    <row r="1" spans="1:116" ht="15" customHeight="1">
      <c r="BO1" s="75">
        <f>720/60</f>
        <v>12</v>
      </c>
    </row>
    <row r="2" spans="1:116" s="36" customFormat="1" ht="14.25">
      <c r="A2" s="251" t="s">
        <v>271</v>
      </c>
      <c r="B2" s="251"/>
      <c r="C2" s="251"/>
      <c r="D2" s="251" t="s">
        <v>153</v>
      </c>
      <c r="E2" s="251"/>
      <c r="F2" s="251"/>
      <c r="G2" s="251"/>
      <c r="H2" s="251"/>
      <c r="I2" s="251"/>
      <c r="J2" s="251"/>
      <c r="K2" s="251"/>
      <c r="L2" s="251"/>
      <c r="M2" s="251" t="s">
        <v>154</v>
      </c>
      <c r="N2" s="251"/>
      <c r="O2" s="251"/>
      <c r="P2" s="251"/>
      <c r="Q2" s="251"/>
      <c r="R2" s="251"/>
      <c r="S2" s="251"/>
      <c r="T2" s="251"/>
      <c r="U2" s="251"/>
      <c r="V2" s="251" t="s">
        <v>155</v>
      </c>
      <c r="W2" s="251"/>
      <c r="X2" s="251"/>
      <c r="Y2" s="251"/>
      <c r="Z2" s="251"/>
      <c r="AA2" s="251"/>
      <c r="AB2" s="251"/>
      <c r="AC2" s="251"/>
      <c r="AD2" s="251"/>
      <c r="AE2" s="251" t="s">
        <v>156</v>
      </c>
      <c r="AF2" s="251"/>
      <c r="AG2" s="251"/>
      <c r="AH2" s="251"/>
      <c r="AI2" s="251"/>
      <c r="AJ2" s="251"/>
      <c r="AK2" s="251"/>
      <c r="AL2" s="251"/>
      <c r="AM2" s="251"/>
      <c r="AN2" s="251" t="s">
        <v>157</v>
      </c>
      <c r="AO2" s="251"/>
      <c r="AP2" s="251"/>
      <c r="AQ2" s="251"/>
      <c r="AR2" s="251"/>
      <c r="AS2" s="251"/>
      <c r="AT2" s="251"/>
      <c r="AU2" s="251"/>
      <c r="AV2" s="251"/>
      <c r="AW2" s="251" t="s">
        <v>158</v>
      </c>
      <c r="AX2" s="251"/>
      <c r="AY2" s="251"/>
      <c r="AZ2" s="251"/>
      <c r="BA2" s="251"/>
      <c r="BB2" s="251"/>
      <c r="BC2" s="251"/>
      <c r="BD2" s="251"/>
      <c r="BE2" s="251"/>
      <c r="BF2" s="251" t="s">
        <v>159</v>
      </c>
      <c r="BG2" s="251"/>
      <c r="BH2" s="251"/>
      <c r="BI2" s="251"/>
      <c r="BJ2" s="251"/>
      <c r="BK2" s="251"/>
      <c r="BL2" s="251"/>
      <c r="BM2" s="251"/>
      <c r="BN2" s="251"/>
      <c r="BO2" s="251" t="s">
        <v>160</v>
      </c>
      <c r="BP2" s="251"/>
      <c r="BQ2" s="251"/>
      <c r="BR2" s="251"/>
      <c r="BS2" s="251"/>
      <c r="BT2" s="251"/>
      <c r="BU2" s="251"/>
      <c r="BV2" s="251"/>
      <c r="BW2" s="251"/>
      <c r="BX2" s="251" t="s">
        <v>161</v>
      </c>
      <c r="BY2" s="251"/>
      <c r="BZ2" s="251"/>
      <c r="CA2" s="251"/>
      <c r="CB2" s="251"/>
      <c r="CC2" s="251"/>
      <c r="CD2" s="251"/>
      <c r="CE2" s="251"/>
      <c r="CF2" s="251"/>
      <c r="CG2" s="251" t="s">
        <v>162</v>
      </c>
      <c r="CH2" s="251"/>
      <c r="CI2" s="251"/>
      <c r="CJ2" s="251"/>
      <c r="CK2" s="251"/>
      <c r="CL2" s="251"/>
      <c r="CM2" s="251"/>
      <c r="CN2" s="251"/>
      <c r="CO2" s="251"/>
      <c r="CP2" s="251" t="s">
        <v>163</v>
      </c>
      <c r="CQ2" s="251"/>
      <c r="CR2" s="251"/>
      <c r="CS2" s="251"/>
      <c r="CT2" s="251"/>
      <c r="CU2" s="251"/>
      <c r="CV2" s="251"/>
      <c r="CW2" s="251"/>
      <c r="CX2" s="251"/>
      <c r="CY2" s="251" t="s">
        <v>164</v>
      </c>
      <c r="CZ2" s="251"/>
      <c r="DA2" s="251"/>
      <c r="DB2" s="251"/>
      <c r="DC2" s="251"/>
      <c r="DD2" s="251"/>
      <c r="DE2" s="251"/>
      <c r="DF2" s="251"/>
      <c r="DG2" s="251"/>
      <c r="DH2" s="252" t="s">
        <v>86</v>
      </c>
      <c r="DI2" s="252" t="s">
        <v>87</v>
      </c>
      <c r="DJ2" s="252" t="s">
        <v>88</v>
      </c>
      <c r="DK2" s="252" t="s">
        <v>89</v>
      </c>
      <c r="DL2" s="252" t="s">
        <v>90</v>
      </c>
    </row>
    <row r="3" spans="1:116" s="40" customFormat="1" ht="117">
      <c r="A3" s="254" t="s">
        <v>145</v>
      </c>
      <c r="B3" s="254" t="s">
        <v>146</v>
      </c>
      <c r="C3" s="35" t="s">
        <v>268</v>
      </c>
      <c r="D3" s="37" t="s">
        <v>147</v>
      </c>
      <c r="E3" s="37" t="s">
        <v>148</v>
      </c>
      <c r="F3" s="37" t="s">
        <v>230</v>
      </c>
      <c r="G3" s="35" t="s">
        <v>134</v>
      </c>
      <c r="H3" s="38" t="s">
        <v>266</v>
      </c>
      <c r="I3" s="37" t="s">
        <v>270</v>
      </c>
      <c r="J3" s="39" t="s">
        <v>269</v>
      </c>
      <c r="K3" s="37" t="s">
        <v>267</v>
      </c>
      <c r="L3" s="38" t="s">
        <v>136</v>
      </c>
      <c r="M3" s="37" t="s">
        <v>147</v>
      </c>
      <c r="N3" s="37" t="s">
        <v>148</v>
      </c>
      <c r="O3" s="37" t="s">
        <v>230</v>
      </c>
      <c r="P3" s="35" t="s">
        <v>134</v>
      </c>
      <c r="Q3" s="38" t="s">
        <v>135</v>
      </c>
      <c r="R3" s="37" t="s">
        <v>151</v>
      </c>
      <c r="S3" s="39" t="s">
        <v>149</v>
      </c>
      <c r="T3" s="37" t="s">
        <v>150</v>
      </c>
      <c r="U3" s="38" t="s">
        <v>136</v>
      </c>
      <c r="V3" s="37" t="s">
        <v>147</v>
      </c>
      <c r="W3" s="37" t="s">
        <v>148</v>
      </c>
      <c r="X3" s="37" t="s">
        <v>230</v>
      </c>
      <c r="Y3" s="35" t="s">
        <v>134</v>
      </c>
      <c r="Z3" s="38" t="s">
        <v>135</v>
      </c>
      <c r="AA3" s="37" t="s">
        <v>151</v>
      </c>
      <c r="AB3" s="39" t="s">
        <v>149</v>
      </c>
      <c r="AC3" s="37" t="s">
        <v>150</v>
      </c>
      <c r="AD3" s="38" t="s">
        <v>136</v>
      </c>
      <c r="AE3" s="37" t="s">
        <v>147</v>
      </c>
      <c r="AF3" s="37" t="s">
        <v>148</v>
      </c>
      <c r="AG3" s="37" t="s">
        <v>230</v>
      </c>
      <c r="AH3" s="35" t="s">
        <v>134</v>
      </c>
      <c r="AI3" s="38" t="s">
        <v>135</v>
      </c>
      <c r="AJ3" s="37" t="s">
        <v>151</v>
      </c>
      <c r="AK3" s="39" t="s">
        <v>149</v>
      </c>
      <c r="AL3" s="37" t="s">
        <v>150</v>
      </c>
      <c r="AM3" s="38" t="s">
        <v>136</v>
      </c>
      <c r="AN3" s="37" t="s">
        <v>147</v>
      </c>
      <c r="AO3" s="37" t="s">
        <v>148</v>
      </c>
      <c r="AP3" s="37" t="s">
        <v>230</v>
      </c>
      <c r="AQ3" s="35" t="s">
        <v>134</v>
      </c>
      <c r="AR3" s="38" t="s">
        <v>135</v>
      </c>
      <c r="AS3" s="37" t="s">
        <v>151</v>
      </c>
      <c r="AT3" s="39" t="s">
        <v>149</v>
      </c>
      <c r="AU3" s="37" t="s">
        <v>150</v>
      </c>
      <c r="AV3" s="38" t="s">
        <v>136</v>
      </c>
      <c r="AW3" s="37" t="s">
        <v>147</v>
      </c>
      <c r="AX3" s="37" t="s">
        <v>148</v>
      </c>
      <c r="AY3" s="37" t="s">
        <v>230</v>
      </c>
      <c r="AZ3" s="35" t="s">
        <v>134</v>
      </c>
      <c r="BA3" s="38" t="s">
        <v>135</v>
      </c>
      <c r="BB3" s="37" t="s">
        <v>151</v>
      </c>
      <c r="BC3" s="39" t="s">
        <v>149</v>
      </c>
      <c r="BD3" s="37" t="s">
        <v>150</v>
      </c>
      <c r="BE3" s="38" t="s">
        <v>136</v>
      </c>
      <c r="BF3" s="37" t="s">
        <v>147</v>
      </c>
      <c r="BG3" s="37" t="s">
        <v>148</v>
      </c>
      <c r="BH3" s="37" t="s">
        <v>230</v>
      </c>
      <c r="BI3" s="35" t="s">
        <v>134</v>
      </c>
      <c r="BJ3" s="38" t="s">
        <v>135</v>
      </c>
      <c r="BK3" s="37" t="s">
        <v>151</v>
      </c>
      <c r="BL3" s="39" t="s">
        <v>149</v>
      </c>
      <c r="BM3" s="37" t="s">
        <v>150</v>
      </c>
      <c r="BN3" s="38" t="s">
        <v>136</v>
      </c>
      <c r="BO3" s="37" t="s">
        <v>147</v>
      </c>
      <c r="BP3" s="37" t="s">
        <v>148</v>
      </c>
      <c r="BQ3" s="37" t="s">
        <v>230</v>
      </c>
      <c r="BR3" s="35" t="s">
        <v>134</v>
      </c>
      <c r="BS3" s="38" t="s">
        <v>135</v>
      </c>
      <c r="BT3" s="37" t="s">
        <v>151</v>
      </c>
      <c r="BU3" s="39" t="s">
        <v>149</v>
      </c>
      <c r="BV3" s="37" t="s">
        <v>150</v>
      </c>
      <c r="BW3" s="38" t="s">
        <v>136</v>
      </c>
      <c r="BX3" s="37" t="s">
        <v>147</v>
      </c>
      <c r="BY3" s="37" t="s">
        <v>148</v>
      </c>
      <c r="BZ3" s="37" t="s">
        <v>230</v>
      </c>
      <c r="CA3" s="35" t="s">
        <v>134</v>
      </c>
      <c r="CB3" s="38" t="s">
        <v>135</v>
      </c>
      <c r="CC3" s="37" t="s">
        <v>151</v>
      </c>
      <c r="CD3" s="39" t="s">
        <v>149</v>
      </c>
      <c r="CE3" s="37" t="s">
        <v>150</v>
      </c>
      <c r="CF3" s="38" t="s">
        <v>136</v>
      </c>
      <c r="CG3" s="37" t="s">
        <v>147</v>
      </c>
      <c r="CH3" s="37" t="s">
        <v>148</v>
      </c>
      <c r="CI3" s="37" t="s">
        <v>230</v>
      </c>
      <c r="CJ3" s="35" t="s">
        <v>134</v>
      </c>
      <c r="CK3" s="38" t="s">
        <v>135</v>
      </c>
      <c r="CL3" s="37" t="s">
        <v>151</v>
      </c>
      <c r="CM3" s="39" t="s">
        <v>149</v>
      </c>
      <c r="CN3" s="37" t="s">
        <v>150</v>
      </c>
      <c r="CO3" s="38" t="s">
        <v>136</v>
      </c>
      <c r="CP3" s="37" t="s">
        <v>147</v>
      </c>
      <c r="CQ3" s="37" t="s">
        <v>148</v>
      </c>
      <c r="CR3" s="37" t="s">
        <v>230</v>
      </c>
      <c r="CS3" s="35" t="s">
        <v>134</v>
      </c>
      <c r="CT3" s="38" t="s">
        <v>135</v>
      </c>
      <c r="CU3" s="37" t="s">
        <v>151</v>
      </c>
      <c r="CV3" s="39" t="s">
        <v>149</v>
      </c>
      <c r="CW3" s="37" t="s">
        <v>150</v>
      </c>
      <c r="CX3" s="38" t="s">
        <v>136</v>
      </c>
      <c r="CY3" s="37" t="s">
        <v>147</v>
      </c>
      <c r="CZ3" s="37" t="s">
        <v>148</v>
      </c>
      <c r="DA3" s="37" t="s">
        <v>230</v>
      </c>
      <c r="DB3" s="35" t="s">
        <v>134</v>
      </c>
      <c r="DC3" s="38" t="s">
        <v>135</v>
      </c>
      <c r="DD3" s="37" t="s">
        <v>151</v>
      </c>
      <c r="DE3" s="76" t="s">
        <v>149</v>
      </c>
      <c r="DF3" s="77" t="s">
        <v>150</v>
      </c>
      <c r="DG3" s="38" t="s">
        <v>136</v>
      </c>
      <c r="DH3" s="253"/>
      <c r="DI3" s="253"/>
      <c r="DJ3" s="253"/>
      <c r="DK3" s="253"/>
      <c r="DL3" s="253"/>
    </row>
    <row r="4" spans="1:116" s="44" customFormat="1" ht="14.25">
      <c r="A4" s="255"/>
      <c r="B4" s="255"/>
      <c r="C4" s="41" t="s">
        <v>138</v>
      </c>
      <c r="D4" s="41" t="s">
        <v>137</v>
      </c>
      <c r="E4" s="42" t="s">
        <v>141</v>
      </c>
      <c r="F4" s="41" t="s">
        <v>127</v>
      </c>
      <c r="G4" s="41" t="s">
        <v>139</v>
      </c>
      <c r="H4" s="43" t="s">
        <v>142</v>
      </c>
      <c r="I4" s="41" t="s">
        <v>144</v>
      </c>
      <c r="J4" s="43" t="s">
        <v>140</v>
      </c>
      <c r="K4" s="41" t="s">
        <v>152</v>
      </c>
      <c r="L4" s="43" t="s">
        <v>102</v>
      </c>
      <c r="M4" s="41" t="s">
        <v>137</v>
      </c>
      <c r="N4" s="42" t="s">
        <v>141</v>
      </c>
      <c r="O4" s="41" t="s">
        <v>127</v>
      </c>
      <c r="P4" s="41" t="s">
        <v>139</v>
      </c>
      <c r="Q4" s="43" t="s">
        <v>142</v>
      </c>
      <c r="R4" s="41" t="s">
        <v>144</v>
      </c>
      <c r="S4" s="43" t="s">
        <v>140</v>
      </c>
      <c r="T4" s="41" t="s">
        <v>152</v>
      </c>
      <c r="U4" s="43" t="s">
        <v>102</v>
      </c>
      <c r="V4" s="41" t="s">
        <v>137</v>
      </c>
      <c r="W4" s="42" t="s">
        <v>141</v>
      </c>
      <c r="X4" s="41" t="s">
        <v>127</v>
      </c>
      <c r="Y4" s="41" t="s">
        <v>139</v>
      </c>
      <c r="Z4" s="43" t="s">
        <v>142</v>
      </c>
      <c r="AA4" s="41" t="s">
        <v>144</v>
      </c>
      <c r="AB4" s="43" t="s">
        <v>140</v>
      </c>
      <c r="AC4" s="41" t="s">
        <v>152</v>
      </c>
      <c r="AD4" s="43" t="s">
        <v>102</v>
      </c>
      <c r="AE4" s="41" t="s">
        <v>137</v>
      </c>
      <c r="AF4" s="42" t="s">
        <v>141</v>
      </c>
      <c r="AG4" s="41" t="s">
        <v>127</v>
      </c>
      <c r="AH4" s="41" t="s">
        <v>139</v>
      </c>
      <c r="AI4" s="43" t="s">
        <v>142</v>
      </c>
      <c r="AJ4" s="41" t="s">
        <v>144</v>
      </c>
      <c r="AK4" s="43" t="s">
        <v>140</v>
      </c>
      <c r="AL4" s="41" t="s">
        <v>152</v>
      </c>
      <c r="AM4" s="43" t="s">
        <v>102</v>
      </c>
      <c r="AN4" s="41" t="s">
        <v>137</v>
      </c>
      <c r="AO4" s="42" t="s">
        <v>141</v>
      </c>
      <c r="AP4" s="41" t="s">
        <v>127</v>
      </c>
      <c r="AQ4" s="41" t="s">
        <v>139</v>
      </c>
      <c r="AR4" s="43" t="s">
        <v>142</v>
      </c>
      <c r="AS4" s="41" t="s">
        <v>144</v>
      </c>
      <c r="AT4" s="43" t="s">
        <v>140</v>
      </c>
      <c r="AU4" s="41" t="s">
        <v>152</v>
      </c>
      <c r="AV4" s="43" t="s">
        <v>102</v>
      </c>
      <c r="AW4" s="41" t="s">
        <v>137</v>
      </c>
      <c r="AX4" s="42" t="s">
        <v>141</v>
      </c>
      <c r="AY4" s="41" t="s">
        <v>127</v>
      </c>
      <c r="AZ4" s="41" t="s">
        <v>139</v>
      </c>
      <c r="BA4" s="43" t="s">
        <v>142</v>
      </c>
      <c r="BB4" s="41" t="s">
        <v>144</v>
      </c>
      <c r="BC4" s="43" t="s">
        <v>140</v>
      </c>
      <c r="BD4" s="41" t="s">
        <v>152</v>
      </c>
      <c r="BE4" s="43" t="s">
        <v>102</v>
      </c>
      <c r="BF4" s="41" t="s">
        <v>137</v>
      </c>
      <c r="BG4" s="42" t="s">
        <v>141</v>
      </c>
      <c r="BH4" s="41" t="s">
        <v>127</v>
      </c>
      <c r="BI4" s="41" t="s">
        <v>139</v>
      </c>
      <c r="BJ4" s="43" t="s">
        <v>142</v>
      </c>
      <c r="BK4" s="41" t="s">
        <v>144</v>
      </c>
      <c r="BL4" s="43" t="s">
        <v>140</v>
      </c>
      <c r="BM4" s="41" t="s">
        <v>152</v>
      </c>
      <c r="BN4" s="43" t="s">
        <v>102</v>
      </c>
      <c r="BO4" s="41" t="s">
        <v>137</v>
      </c>
      <c r="BP4" s="42" t="s">
        <v>141</v>
      </c>
      <c r="BQ4" s="41" t="s">
        <v>127</v>
      </c>
      <c r="BR4" s="41" t="s">
        <v>139</v>
      </c>
      <c r="BS4" s="43" t="s">
        <v>142</v>
      </c>
      <c r="BT4" s="41" t="s">
        <v>144</v>
      </c>
      <c r="BU4" s="43" t="s">
        <v>140</v>
      </c>
      <c r="BV4" s="41" t="s">
        <v>152</v>
      </c>
      <c r="BW4" s="43" t="s">
        <v>102</v>
      </c>
      <c r="BX4" s="41" t="s">
        <v>137</v>
      </c>
      <c r="BY4" s="42" t="s">
        <v>141</v>
      </c>
      <c r="BZ4" s="41" t="s">
        <v>127</v>
      </c>
      <c r="CA4" s="41" t="s">
        <v>139</v>
      </c>
      <c r="CB4" s="43" t="s">
        <v>142</v>
      </c>
      <c r="CC4" s="41" t="s">
        <v>144</v>
      </c>
      <c r="CD4" s="43" t="s">
        <v>140</v>
      </c>
      <c r="CE4" s="41" t="s">
        <v>152</v>
      </c>
      <c r="CF4" s="43" t="s">
        <v>102</v>
      </c>
      <c r="CG4" s="41" t="s">
        <v>137</v>
      </c>
      <c r="CH4" s="42" t="s">
        <v>141</v>
      </c>
      <c r="CI4" s="41" t="s">
        <v>127</v>
      </c>
      <c r="CJ4" s="41" t="s">
        <v>139</v>
      </c>
      <c r="CK4" s="43" t="s">
        <v>142</v>
      </c>
      <c r="CL4" s="41" t="s">
        <v>144</v>
      </c>
      <c r="CM4" s="43" t="s">
        <v>140</v>
      </c>
      <c r="CN4" s="41" t="s">
        <v>152</v>
      </c>
      <c r="CO4" s="43" t="s">
        <v>102</v>
      </c>
      <c r="CP4" s="41" t="s">
        <v>137</v>
      </c>
      <c r="CQ4" s="42" t="s">
        <v>141</v>
      </c>
      <c r="CR4" s="41" t="s">
        <v>127</v>
      </c>
      <c r="CS4" s="41" t="s">
        <v>139</v>
      </c>
      <c r="CT4" s="43" t="s">
        <v>142</v>
      </c>
      <c r="CU4" s="41" t="s">
        <v>144</v>
      </c>
      <c r="CV4" s="43" t="s">
        <v>140</v>
      </c>
      <c r="CW4" s="41" t="s">
        <v>152</v>
      </c>
      <c r="CX4" s="43" t="s">
        <v>102</v>
      </c>
      <c r="CY4" s="41" t="s">
        <v>137</v>
      </c>
      <c r="CZ4" s="42" t="s">
        <v>141</v>
      </c>
      <c r="DA4" s="41" t="s">
        <v>127</v>
      </c>
      <c r="DB4" s="41" t="s">
        <v>139</v>
      </c>
      <c r="DC4" s="43" t="s">
        <v>142</v>
      </c>
      <c r="DD4" s="41" t="s">
        <v>144</v>
      </c>
      <c r="DE4" s="43" t="s">
        <v>140</v>
      </c>
      <c r="DF4" s="41" t="s">
        <v>152</v>
      </c>
      <c r="DG4" s="43" t="s">
        <v>102</v>
      </c>
      <c r="DH4" s="253"/>
      <c r="DI4" s="253"/>
      <c r="DJ4" s="253"/>
      <c r="DK4" s="253"/>
      <c r="DL4" s="253"/>
    </row>
    <row r="5" spans="1:116" s="54" customFormat="1">
      <c r="A5" s="53" t="s">
        <v>279</v>
      </c>
      <c r="B5" s="53"/>
      <c r="C5" s="53">
        <f>130/100</f>
        <v>1.3</v>
      </c>
      <c r="D5" s="214" t="s">
        <v>418</v>
      </c>
      <c r="E5" s="56">
        <v>84.3</v>
      </c>
      <c r="F5" s="56"/>
      <c r="G5" s="184"/>
      <c r="H5" s="184">
        <f>85000/60</f>
        <v>1416.6666666666667</v>
      </c>
      <c r="I5" s="185">
        <v>41</v>
      </c>
      <c r="J5" s="186">
        <f t="shared" ref="J5:J16" si="0">H5*I5*60/1000000</f>
        <v>3.4849999999999999</v>
      </c>
      <c r="K5" s="187">
        <f>19*24-4</f>
        <v>452</v>
      </c>
      <c r="L5" s="184">
        <f>J5*K5</f>
        <v>1575.22</v>
      </c>
      <c r="M5" s="214" t="s">
        <v>418</v>
      </c>
      <c r="N5" s="56">
        <v>84.3</v>
      </c>
      <c r="O5" s="56"/>
      <c r="P5" s="184"/>
      <c r="Q5" s="184">
        <f>85000/60</f>
        <v>1416.6666666666667</v>
      </c>
      <c r="R5" s="185">
        <v>41</v>
      </c>
      <c r="S5" s="186">
        <f t="shared" ref="S5:S16" si="1">Q5*R5*60/1000000</f>
        <v>3.4849999999999999</v>
      </c>
      <c r="T5" s="187">
        <v>0</v>
      </c>
      <c r="U5" s="184">
        <f>S5*T5</f>
        <v>0</v>
      </c>
      <c r="V5" s="214" t="s">
        <v>418</v>
      </c>
      <c r="W5" s="56">
        <v>84.3</v>
      </c>
      <c r="X5" s="56"/>
      <c r="Y5" s="184"/>
      <c r="Z5" s="184">
        <f>85000/60</f>
        <v>1416.6666666666667</v>
      </c>
      <c r="AA5" s="185">
        <v>41</v>
      </c>
      <c r="AB5" s="186">
        <f t="shared" ref="AB5:AB16" si="2">Z5*AA5*60/1000000</f>
        <v>3.4849999999999999</v>
      </c>
      <c r="AC5" s="187">
        <f>27*24-55</f>
        <v>593</v>
      </c>
      <c r="AD5" s="85">
        <f>AB5*AC5</f>
        <v>2066.605</v>
      </c>
      <c r="AE5" s="214" t="s">
        <v>420</v>
      </c>
      <c r="AF5" s="53">
        <v>82.3</v>
      </c>
      <c r="AG5" s="53"/>
      <c r="AH5" s="85"/>
      <c r="AI5" s="184">
        <f>85000/60</f>
        <v>1416.6666666666667</v>
      </c>
      <c r="AJ5" s="108">
        <v>52.5</v>
      </c>
      <c r="AK5" s="86">
        <f t="shared" ref="AK5:AK16" si="3">AI5*AJ5*60/1000000</f>
        <v>4.4625000000000004</v>
      </c>
      <c r="AL5" s="187">
        <f>30*24-49</f>
        <v>671</v>
      </c>
      <c r="AM5" s="85">
        <f>AK5*AL5</f>
        <v>2994.3375000000001</v>
      </c>
      <c r="AN5" s="214" t="s">
        <v>420</v>
      </c>
      <c r="AO5" s="53">
        <v>82.3</v>
      </c>
      <c r="AP5" s="53"/>
      <c r="AQ5" s="85"/>
      <c r="AR5" s="184">
        <f>85000/60</f>
        <v>1416.6666666666667</v>
      </c>
      <c r="AS5" s="108">
        <v>52.5</v>
      </c>
      <c r="AT5" s="86">
        <f t="shared" ref="AT5:AT16" si="4">AR5*AS5*60/1000000</f>
        <v>4.4625000000000004</v>
      </c>
      <c r="AU5" s="107">
        <f>31*24-55</f>
        <v>689</v>
      </c>
      <c r="AV5" s="85">
        <f>AT5*AU5</f>
        <v>3074.6625000000004</v>
      </c>
      <c r="AW5" s="214" t="s">
        <v>422</v>
      </c>
      <c r="AX5" s="53">
        <v>95.5</v>
      </c>
      <c r="AY5" s="53"/>
      <c r="AZ5" s="85"/>
      <c r="BA5" s="184">
        <f>85000/60</f>
        <v>1416.6666666666667</v>
      </c>
      <c r="BB5" s="108">
        <v>42.6</v>
      </c>
      <c r="BC5" s="86">
        <f t="shared" ref="BC5:BC16" si="5">BA5*BB5*60/1000000</f>
        <v>3.6210000000000004</v>
      </c>
      <c r="BD5" s="187">
        <f>30*24-47</f>
        <v>673</v>
      </c>
      <c r="BE5" s="85">
        <f>BC5*BD5</f>
        <v>2436.9330000000004</v>
      </c>
      <c r="BF5" s="214" t="s">
        <v>422</v>
      </c>
      <c r="BG5" s="53">
        <v>95.5</v>
      </c>
      <c r="BH5" s="53"/>
      <c r="BI5" s="85"/>
      <c r="BJ5" s="184">
        <f>85000/60</f>
        <v>1416.6666666666667</v>
      </c>
      <c r="BK5" s="108">
        <v>42.6</v>
      </c>
      <c r="BL5" s="86">
        <f t="shared" ref="BL5:BL16" si="6">BJ5*BK5*60/1000000</f>
        <v>3.6210000000000004</v>
      </c>
      <c r="BM5" s="52">
        <f>31*24-30</f>
        <v>714</v>
      </c>
      <c r="BN5" s="85">
        <f>BL5*BM5</f>
        <v>2585.3940000000002</v>
      </c>
      <c r="BO5" s="214" t="s">
        <v>422</v>
      </c>
      <c r="BP5" s="53">
        <v>95.5</v>
      </c>
      <c r="BQ5" s="53"/>
      <c r="BR5" s="85"/>
      <c r="BS5" s="184">
        <f>85000/60</f>
        <v>1416.6666666666667</v>
      </c>
      <c r="BT5" s="108">
        <v>42.6</v>
      </c>
      <c r="BU5" s="86">
        <f t="shared" ref="BU5:BU15" si="7">BS5*BT5*60/1000000</f>
        <v>3.6210000000000004</v>
      </c>
      <c r="BV5" s="189">
        <f>31*24-107</f>
        <v>637</v>
      </c>
      <c r="BW5" s="85">
        <f>BU5*BV5</f>
        <v>2306.5770000000002</v>
      </c>
      <c r="BX5" s="214" t="s">
        <v>422</v>
      </c>
      <c r="BY5" s="53">
        <v>95.5</v>
      </c>
      <c r="BZ5" s="53"/>
      <c r="CA5" s="85"/>
      <c r="CB5" s="184">
        <f>85000/60</f>
        <v>1416.6666666666667</v>
      </c>
      <c r="CC5" s="108">
        <v>42.6</v>
      </c>
      <c r="CD5" s="86">
        <f t="shared" ref="CD5:CD16" si="8">CB5*CC5*60/1000000</f>
        <v>3.6210000000000004</v>
      </c>
      <c r="CE5" s="52">
        <f>30*24-254</f>
        <v>466</v>
      </c>
      <c r="CF5" s="85">
        <f>CD5*CE5</f>
        <v>1687.3860000000002</v>
      </c>
      <c r="CG5" s="191" t="s">
        <v>423</v>
      </c>
      <c r="CH5" s="56">
        <v>96.2</v>
      </c>
      <c r="CI5" s="56"/>
      <c r="CJ5" s="184"/>
      <c r="CK5" s="184">
        <f>85000/60</f>
        <v>1416.6666666666667</v>
      </c>
      <c r="CL5" s="185">
        <v>43.4</v>
      </c>
      <c r="CM5" s="86">
        <f t="shared" ref="CM5:CM16" si="9">CK5*CL5*60/1000000</f>
        <v>3.6890000000000001</v>
      </c>
      <c r="CN5" s="52">
        <f>31*24-64</f>
        <v>680</v>
      </c>
      <c r="CO5" s="85">
        <f>CM5*CN5</f>
        <v>2508.52</v>
      </c>
      <c r="CP5" s="191" t="s">
        <v>423</v>
      </c>
      <c r="CQ5" s="56">
        <v>96.2</v>
      </c>
      <c r="CR5" s="56"/>
      <c r="CS5" s="184"/>
      <c r="CT5" s="184">
        <f>85000/60</f>
        <v>1416.6666666666667</v>
      </c>
      <c r="CU5" s="185">
        <v>43.4</v>
      </c>
      <c r="CV5" s="86">
        <f t="shared" ref="CV5:CV16" si="10">CT5*CU5*60/1000000</f>
        <v>3.6890000000000001</v>
      </c>
      <c r="CW5" s="52">
        <f>31*24-61</f>
        <v>683</v>
      </c>
      <c r="CX5" s="85">
        <f>CV5*CW5</f>
        <v>2519.587</v>
      </c>
      <c r="CY5" s="191" t="s">
        <v>423</v>
      </c>
      <c r="CZ5" s="56">
        <v>96.2</v>
      </c>
      <c r="DA5" s="56"/>
      <c r="DB5" s="184"/>
      <c r="DC5" s="184">
        <f>85000/60</f>
        <v>1416.6666666666667</v>
      </c>
      <c r="DD5" s="185">
        <v>43.4</v>
      </c>
      <c r="DE5" s="86">
        <f>DC5*DD5*60/1000000</f>
        <v>3.6890000000000001</v>
      </c>
      <c r="DF5" s="52">
        <f>31*24-84</f>
        <v>660</v>
      </c>
      <c r="DG5" s="85">
        <f>DE5*DF5</f>
        <v>2434.7400000000002</v>
      </c>
      <c r="DH5" s="253"/>
      <c r="DI5" s="253"/>
      <c r="DJ5" s="253"/>
      <c r="DK5" s="253"/>
      <c r="DL5" s="253"/>
    </row>
    <row r="6" spans="1:116" ht="12" customHeight="1">
      <c r="A6" s="31" t="s">
        <v>280</v>
      </c>
      <c r="B6" s="31"/>
      <c r="C6" s="53">
        <f>130/100</f>
        <v>1.3</v>
      </c>
      <c r="D6" s="214" t="s">
        <v>418</v>
      </c>
      <c r="E6" s="56">
        <v>87.1</v>
      </c>
      <c r="F6" s="56"/>
      <c r="G6" s="184"/>
      <c r="H6" s="186">
        <f>85000/60</f>
        <v>1416.6666666666667</v>
      </c>
      <c r="I6" s="188">
        <v>43</v>
      </c>
      <c r="J6" s="186">
        <f t="shared" si="0"/>
        <v>3.6550000000000002</v>
      </c>
      <c r="K6" s="189">
        <f>19*24-56</f>
        <v>400</v>
      </c>
      <c r="L6" s="186">
        <f t="shared" ref="L6:L16" si="11">J6*K6</f>
        <v>1462</v>
      </c>
      <c r="M6" s="214" t="s">
        <v>418</v>
      </c>
      <c r="N6" s="56">
        <v>87.1</v>
      </c>
      <c r="O6" s="56"/>
      <c r="P6" s="184"/>
      <c r="Q6" s="186">
        <f>85000/60</f>
        <v>1416.6666666666667</v>
      </c>
      <c r="R6" s="188">
        <v>43</v>
      </c>
      <c r="S6" s="186">
        <f t="shared" si="1"/>
        <v>3.6550000000000002</v>
      </c>
      <c r="T6" s="190">
        <v>424</v>
      </c>
      <c r="U6" s="186">
        <f t="shared" ref="U6:U16" si="12">S6*T6</f>
        <v>1549.72</v>
      </c>
      <c r="V6" s="214" t="s">
        <v>418</v>
      </c>
      <c r="W6" s="56">
        <v>87.1</v>
      </c>
      <c r="X6" s="56"/>
      <c r="Y6" s="184"/>
      <c r="Z6" s="186">
        <f>85000/60</f>
        <v>1416.6666666666667</v>
      </c>
      <c r="AA6" s="188">
        <v>43</v>
      </c>
      <c r="AB6" s="186">
        <f t="shared" si="2"/>
        <v>3.6550000000000002</v>
      </c>
      <c r="AC6" s="190">
        <f>31*24-90</f>
        <v>654</v>
      </c>
      <c r="AD6" s="86">
        <f t="shared" ref="AD6:AD16" si="13">AB6*AC6</f>
        <v>2390.3700000000003</v>
      </c>
      <c r="AE6" s="214" t="s">
        <v>420</v>
      </c>
      <c r="AF6" s="53">
        <v>71.900000000000006</v>
      </c>
      <c r="AG6" s="53"/>
      <c r="AH6" s="85"/>
      <c r="AI6" s="186">
        <f>85000/60</f>
        <v>1416.6666666666667</v>
      </c>
      <c r="AJ6" s="109">
        <v>48.9</v>
      </c>
      <c r="AK6" s="86">
        <f t="shared" si="3"/>
        <v>4.1565000000000003</v>
      </c>
      <c r="AL6" s="187">
        <f>30*24-245</f>
        <v>475</v>
      </c>
      <c r="AM6" s="86">
        <f t="shared" ref="AM6:AM16" si="14">AK6*AL6</f>
        <v>1974.3375000000001</v>
      </c>
      <c r="AN6" s="214" t="s">
        <v>420</v>
      </c>
      <c r="AO6" s="53">
        <v>71.900000000000006</v>
      </c>
      <c r="AP6" s="53"/>
      <c r="AQ6" s="85"/>
      <c r="AR6" s="186">
        <f>85000/60</f>
        <v>1416.6666666666667</v>
      </c>
      <c r="AS6" s="109">
        <v>48.9</v>
      </c>
      <c r="AT6" s="86">
        <f t="shared" si="4"/>
        <v>4.1565000000000003</v>
      </c>
      <c r="AU6" s="110">
        <f>31*24-244.3</f>
        <v>499.7</v>
      </c>
      <c r="AV6" s="86">
        <f t="shared" ref="AV6:AV16" si="15">AT6*AU6</f>
        <v>2077.0030500000003</v>
      </c>
      <c r="AW6" s="214" t="s">
        <v>422</v>
      </c>
      <c r="AX6" s="53">
        <v>94.1</v>
      </c>
      <c r="AY6" s="53"/>
      <c r="AZ6" s="85"/>
      <c r="BA6" s="186">
        <f>85000/60</f>
        <v>1416.6666666666667</v>
      </c>
      <c r="BB6" s="109">
        <v>43.7</v>
      </c>
      <c r="BC6" s="86">
        <f t="shared" si="5"/>
        <v>3.7145000000000006</v>
      </c>
      <c r="BD6" s="190">
        <f>30*24-206.4</f>
        <v>513.6</v>
      </c>
      <c r="BE6" s="86">
        <f t="shared" ref="BE6:BE16" si="16">BC6*BD6</f>
        <v>1907.7672000000005</v>
      </c>
      <c r="BF6" s="214" t="s">
        <v>422</v>
      </c>
      <c r="BG6" s="53">
        <v>94.1</v>
      </c>
      <c r="BH6" s="53"/>
      <c r="BI6" s="85"/>
      <c r="BJ6" s="186">
        <f>85000/60</f>
        <v>1416.6666666666667</v>
      </c>
      <c r="BK6" s="109">
        <v>43.7</v>
      </c>
      <c r="BL6" s="86">
        <f t="shared" si="6"/>
        <v>3.7145000000000006</v>
      </c>
      <c r="BM6" s="52">
        <f>31*24-133</f>
        <v>611</v>
      </c>
      <c r="BN6" s="86">
        <f t="shared" ref="BN6:BN16" si="17">BL6*BM6</f>
        <v>2269.5595000000003</v>
      </c>
      <c r="BO6" s="214" t="s">
        <v>422</v>
      </c>
      <c r="BP6" s="53">
        <v>94.1</v>
      </c>
      <c r="BQ6" s="53"/>
      <c r="BR6" s="85"/>
      <c r="BS6" s="186">
        <f>85000/60</f>
        <v>1416.6666666666667</v>
      </c>
      <c r="BT6" s="109">
        <v>43.7</v>
      </c>
      <c r="BU6" s="86">
        <f t="shared" si="7"/>
        <v>3.7145000000000006</v>
      </c>
      <c r="BV6" s="190">
        <f>31*24-213</f>
        <v>531</v>
      </c>
      <c r="BW6" s="86">
        <f t="shared" ref="BW6:BW16" si="18">BU6*BV6</f>
        <v>1972.3995000000002</v>
      </c>
      <c r="BX6" s="214" t="s">
        <v>422</v>
      </c>
      <c r="BY6" s="53">
        <v>94.1</v>
      </c>
      <c r="BZ6" s="53"/>
      <c r="CA6" s="85"/>
      <c r="CB6" s="186">
        <f>85000/60</f>
        <v>1416.6666666666667</v>
      </c>
      <c r="CC6" s="109">
        <v>43.7</v>
      </c>
      <c r="CD6" s="86">
        <f t="shared" si="8"/>
        <v>3.7145000000000006</v>
      </c>
      <c r="CE6" s="52">
        <f>30*24-99</f>
        <v>621</v>
      </c>
      <c r="CF6" s="86">
        <f t="shared" ref="CF6:CF16" si="19">CD6*CE6</f>
        <v>2306.7045000000003</v>
      </c>
      <c r="CG6" s="191" t="s">
        <v>423</v>
      </c>
      <c r="CH6" s="56">
        <v>95.1</v>
      </c>
      <c r="CI6" s="56"/>
      <c r="CJ6" s="184"/>
      <c r="CK6" s="186">
        <f>85000/60</f>
        <v>1416.6666666666667</v>
      </c>
      <c r="CL6" s="188">
        <v>42.3</v>
      </c>
      <c r="CM6" s="86">
        <f t="shared" si="9"/>
        <v>3.5954999999999999</v>
      </c>
      <c r="CN6" s="31">
        <f>31*24-544</f>
        <v>200</v>
      </c>
      <c r="CO6" s="86">
        <f t="shared" ref="CO6:CO16" si="20">CM6*CN6</f>
        <v>719.1</v>
      </c>
      <c r="CP6" s="191" t="s">
        <v>423</v>
      </c>
      <c r="CQ6" s="56">
        <v>95.1</v>
      </c>
      <c r="CR6" s="56"/>
      <c r="CS6" s="184"/>
      <c r="CT6" s="186">
        <f>85000/60</f>
        <v>1416.6666666666667</v>
      </c>
      <c r="CU6" s="188">
        <v>42.3</v>
      </c>
      <c r="CV6" s="86">
        <f t="shared" si="10"/>
        <v>3.5954999999999999</v>
      </c>
      <c r="CW6" s="52">
        <f>30*24-360</f>
        <v>360</v>
      </c>
      <c r="CX6" s="86">
        <f t="shared" ref="CX6:CX16" si="21">CV6*CW6</f>
        <v>1294.3799999999999</v>
      </c>
      <c r="CY6" s="191" t="s">
        <v>423</v>
      </c>
      <c r="CZ6" s="56">
        <v>95.1</v>
      </c>
      <c r="DA6" s="56"/>
      <c r="DB6" s="184"/>
      <c r="DC6" s="186">
        <f>85000/60</f>
        <v>1416.6666666666667</v>
      </c>
      <c r="DD6" s="188">
        <v>42.3</v>
      </c>
      <c r="DE6" s="86">
        <f t="shared" ref="DE6:DE16" si="22">DC6*DD6*60/1000000</f>
        <v>3.5954999999999999</v>
      </c>
      <c r="DF6" s="52">
        <f>31*24-308</f>
        <v>436</v>
      </c>
      <c r="DG6" s="86">
        <f t="shared" ref="DG6:DG16" si="23">DE6*DF6</f>
        <v>1567.6379999999999</v>
      </c>
      <c r="DH6" s="253"/>
      <c r="DI6" s="253"/>
      <c r="DJ6" s="253"/>
      <c r="DK6" s="253"/>
      <c r="DL6" s="253"/>
    </row>
    <row r="7" spans="1:116" ht="12" customHeight="1">
      <c r="A7" s="53" t="s">
        <v>281</v>
      </c>
      <c r="B7" s="31"/>
      <c r="C7" s="53">
        <v>0.8</v>
      </c>
      <c r="D7" s="214" t="s">
        <v>418</v>
      </c>
      <c r="E7" s="56">
        <v>153.19999999999999</v>
      </c>
      <c r="F7" s="56"/>
      <c r="G7" s="184"/>
      <c r="H7" s="186">
        <f>10400/60</f>
        <v>173.33333333333334</v>
      </c>
      <c r="I7" s="188">
        <v>52</v>
      </c>
      <c r="J7" s="186">
        <f t="shared" si="0"/>
        <v>0.54079999999999995</v>
      </c>
      <c r="K7" s="189">
        <f>16*24</f>
        <v>384</v>
      </c>
      <c r="L7" s="186">
        <f t="shared" si="11"/>
        <v>207.66719999999998</v>
      </c>
      <c r="M7" s="214" t="s">
        <v>418</v>
      </c>
      <c r="N7" s="56">
        <v>153.19999999999999</v>
      </c>
      <c r="O7" s="56"/>
      <c r="P7" s="184"/>
      <c r="Q7" s="186">
        <f>10400/60</f>
        <v>173.33333333333334</v>
      </c>
      <c r="R7" s="188">
        <v>52</v>
      </c>
      <c r="S7" s="186">
        <f t="shared" si="1"/>
        <v>0.54079999999999995</v>
      </c>
      <c r="T7" s="187">
        <f>13*24+16</f>
        <v>328</v>
      </c>
      <c r="U7" s="186">
        <f t="shared" si="12"/>
        <v>177.38239999999999</v>
      </c>
      <c r="V7" s="214" t="s">
        <v>418</v>
      </c>
      <c r="W7" s="56">
        <v>153.19999999999999</v>
      </c>
      <c r="X7" s="56"/>
      <c r="Y7" s="184"/>
      <c r="Z7" s="186">
        <f>10400/60</f>
        <v>173.33333333333334</v>
      </c>
      <c r="AA7" s="188">
        <v>52</v>
      </c>
      <c r="AB7" s="186">
        <f t="shared" si="2"/>
        <v>0.54079999999999995</v>
      </c>
      <c r="AC7" s="190">
        <f>31*24</f>
        <v>744</v>
      </c>
      <c r="AD7" s="86">
        <f t="shared" si="13"/>
        <v>402.35519999999997</v>
      </c>
      <c r="AE7" s="214" t="s">
        <v>420</v>
      </c>
      <c r="AF7" s="53">
        <v>130</v>
      </c>
      <c r="AG7" s="53"/>
      <c r="AH7" s="85"/>
      <c r="AI7" s="186">
        <f>10900/60</f>
        <v>181.66666666666666</v>
      </c>
      <c r="AJ7" s="109">
        <v>49.3</v>
      </c>
      <c r="AK7" s="86">
        <f t="shared" si="3"/>
        <v>0.53737000000000001</v>
      </c>
      <c r="AL7" s="187">
        <f>30*24</f>
        <v>720</v>
      </c>
      <c r="AM7" s="86">
        <f t="shared" si="14"/>
        <v>386.90640000000002</v>
      </c>
      <c r="AN7" s="214" t="s">
        <v>420</v>
      </c>
      <c r="AO7" s="53">
        <v>130</v>
      </c>
      <c r="AP7" s="53"/>
      <c r="AQ7" s="85"/>
      <c r="AR7" s="186">
        <f>10900/60</f>
        <v>181.66666666666666</v>
      </c>
      <c r="AS7" s="109">
        <v>49.3</v>
      </c>
      <c r="AT7" s="86">
        <f t="shared" si="4"/>
        <v>0.53737000000000001</v>
      </c>
      <c r="AU7" s="110">
        <f>31*24</f>
        <v>744</v>
      </c>
      <c r="AV7" s="86">
        <f t="shared" si="15"/>
        <v>399.80328000000003</v>
      </c>
      <c r="AW7" s="214" t="s">
        <v>422</v>
      </c>
      <c r="AX7" s="53">
        <v>119.3</v>
      </c>
      <c r="AY7" s="53"/>
      <c r="AZ7" s="85"/>
      <c r="BA7" s="186">
        <f>10900/60</f>
        <v>181.66666666666666</v>
      </c>
      <c r="BB7" s="109">
        <v>44.8</v>
      </c>
      <c r="BC7" s="86">
        <f t="shared" si="5"/>
        <v>0.48831999999999992</v>
      </c>
      <c r="BD7" s="190">
        <f>30*24</f>
        <v>720</v>
      </c>
      <c r="BE7" s="86">
        <f t="shared" si="16"/>
        <v>351.59039999999993</v>
      </c>
      <c r="BF7" s="214" t="s">
        <v>422</v>
      </c>
      <c r="BG7" s="53">
        <v>119.3</v>
      </c>
      <c r="BH7" s="53"/>
      <c r="BI7" s="85"/>
      <c r="BJ7" s="186">
        <f>10900/60</f>
        <v>181.66666666666666</v>
      </c>
      <c r="BK7" s="109">
        <v>44.8</v>
      </c>
      <c r="BL7" s="86">
        <f t="shared" si="6"/>
        <v>0.48831999999999992</v>
      </c>
      <c r="BM7" s="52">
        <f>31*24</f>
        <v>744</v>
      </c>
      <c r="BN7" s="86">
        <f t="shared" si="17"/>
        <v>363.31007999999991</v>
      </c>
      <c r="BO7" s="214" t="s">
        <v>422</v>
      </c>
      <c r="BP7" s="53">
        <v>119.3</v>
      </c>
      <c r="BQ7" s="53"/>
      <c r="BR7" s="85"/>
      <c r="BS7" s="186">
        <f>10900/60</f>
        <v>181.66666666666666</v>
      </c>
      <c r="BT7" s="109">
        <v>44.8</v>
      </c>
      <c r="BU7" s="86">
        <f t="shared" si="7"/>
        <v>0.48831999999999992</v>
      </c>
      <c r="BV7" s="190">
        <f>31*24</f>
        <v>744</v>
      </c>
      <c r="BW7" s="86">
        <f t="shared" si="18"/>
        <v>363.31007999999991</v>
      </c>
      <c r="BX7" s="214" t="s">
        <v>422</v>
      </c>
      <c r="BY7" s="53">
        <v>119.3</v>
      </c>
      <c r="BZ7" s="53"/>
      <c r="CA7" s="85"/>
      <c r="CB7" s="186">
        <f>10900/60</f>
        <v>181.66666666666666</v>
      </c>
      <c r="CC7" s="109">
        <v>44.8</v>
      </c>
      <c r="CD7" s="86">
        <f t="shared" si="8"/>
        <v>0.48831999999999992</v>
      </c>
      <c r="CE7" s="52">
        <f>30*24</f>
        <v>720</v>
      </c>
      <c r="CF7" s="86">
        <f t="shared" si="19"/>
        <v>351.59039999999993</v>
      </c>
      <c r="CG7" s="191" t="s">
        <v>423</v>
      </c>
      <c r="CH7" s="56">
        <v>121.5</v>
      </c>
      <c r="CI7" s="56"/>
      <c r="CJ7" s="184"/>
      <c r="CK7" s="186">
        <f>9240/60</f>
        <v>154</v>
      </c>
      <c r="CL7" s="188">
        <v>45.1</v>
      </c>
      <c r="CM7" s="86">
        <f t="shared" si="9"/>
        <v>0.41672400000000004</v>
      </c>
      <c r="CN7" s="31">
        <f>31*24</f>
        <v>744</v>
      </c>
      <c r="CO7" s="86">
        <f t="shared" si="20"/>
        <v>310.04265600000002</v>
      </c>
      <c r="CP7" s="191" t="s">
        <v>423</v>
      </c>
      <c r="CQ7" s="56">
        <v>121.5</v>
      </c>
      <c r="CR7" s="56"/>
      <c r="CS7" s="184"/>
      <c r="CT7" s="186">
        <f>9240/60</f>
        <v>154</v>
      </c>
      <c r="CU7" s="188">
        <v>45.1</v>
      </c>
      <c r="CV7" s="86">
        <f t="shared" si="10"/>
        <v>0.41672400000000004</v>
      </c>
      <c r="CW7" s="52">
        <f>30*24</f>
        <v>720</v>
      </c>
      <c r="CX7" s="86">
        <f t="shared" si="21"/>
        <v>300.04128000000003</v>
      </c>
      <c r="CY7" s="191" t="s">
        <v>423</v>
      </c>
      <c r="CZ7" s="56">
        <v>121.5</v>
      </c>
      <c r="DA7" s="56"/>
      <c r="DB7" s="184"/>
      <c r="DC7" s="186">
        <f>9240/60</f>
        <v>154</v>
      </c>
      <c r="DD7" s="188">
        <v>45.1</v>
      </c>
      <c r="DE7" s="86">
        <f t="shared" si="22"/>
        <v>0.41672400000000004</v>
      </c>
      <c r="DF7" s="52">
        <f>31*24</f>
        <v>744</v>
      </c>
      <c r="DG7" s="86">
        <f t="shared" si="23"/>
        <v>310.04265600000002</v>
      </c>
      <c r="DH7" s="253"/>
      <c r="DI7" s="253"/>
      <c r="DJ7" s="253"/>
      <c r="DK7" s="253"/>
      <c r="DL7" s="253"/>
    </row>
    <row r="8" spans="1:116" ht="12" customHeight="1">
      <c r="A8" s="31" t="s">
        <v>282</v>
      </c>
      <c r="B8" s="31"/>
      <c r="C8" s="53">
        <v>0.8</v>
      </c>
      <c r="D8" s="214" t="s">
        <v>418</v>
      </c>
      <c r="E8" s="56">
        <v>159.1</v>
      </c>
      <c r="F8" s="56"/>
      <c r="G8" s="184"/>
      <c r="H8" s="186">
        <f>11300/60</f>
        <v>188.33333333333334</v>
      </c>
      <c r="I8" s="188">
        <v>53</v>
      </c>
      <c r="J8" s="186">
        <f t="shared" si="0"/>
        <v>0.5989000000000001</v>
      </c>
      <c r="K8" s="189">
        <f>17*24+8</f>
        <v>416</v>
      </c>
      <c r="L8" s="186">
        <f t="shared" si="11"/>
        <v>249.14240000000004</v>
      </c>
      <c r="M8" s="214" t="s">
        <v>418</v>
      </c>
      <c r="N8" s="56">
        <v>159.1</v>
      </c>
      <c r="O8" s="56"/>
      <c r="P8" s="184"/>
      <c r="Q8" s="186">
        <f>11300/60</f>
        <v>188.33333333333334</v>
      </c>
      <c r="R8" s="188">
        <v>53</v>
      </c>
      <c r="S8" s="186">
        <f t="shared" si="1"/>
        <v>0.5989000000000001</v>
      </c>
      <c r="T8" s="187">
        <f>18*24+16</f>
        <v>448</v>
      </c>
      <c r="U8" s="186">
        <f t="shared" si="12"/>
        <v>268.30720000000002</v>
      </c>
      <c r="V8" s="214" t="s">
        <v>418</v>
      </c>
      <c r="W8" s="56">
        <v>159.1</v>
      </c>
      <c r="X8" s="56"/>
      <c r="Y8" s="184"/>
      <c r="Z8" s="186">
        <f>11300/60</f>
        <v>188.33333333333334</v>
      </c>
      <c r="AA8" s="188">
        <v>53</v>
      </c>
      <c r="AB8" s="186">
        <f t="shared" si="2"/>
        <v>0.5989000000000001</v>
      </c>
      <c r="AC8" s="190">
        <f>31*24</f>
        <v>744</v>
      </c>
      <c r="AD8" s="86">
        <f t="shared" si="13"/>
        <v>445.58160000000009</v>
      </c>
      <c r="AE8" s="214" t="s">
        <v>420</v>
      </c>
      <c r="AF8" s="53">
        <v>120.1</v>
      </c>
      <c r="AG8" s="53"/>
      <c r="AH8" s="85"/>
      <c r="AI8" s="186">
        <f>11200/60</f>
        <v>186.66666666666666</v>
      </c>
      <c r="AJ8" s="109">
        <v>53.2</v>
      </c>
      <c r="AK8" s="86">
        <f t="shared" si="3"/>
        <v>0.59584000000000004</v>
      </c>
      <c r="AL8" s="187">
        <f t="shared" ref="AL8:AL13" si="24">30*24</f>
        <v>720</v>
      </c>
      <c r="AM8" s="86">
        <f t="shared" si="14"/>
        <v>429.00480000000005</v>
      </c>
      <c r="AN8" s="214" t="s">
        <v>420</v>
      </c>
      <c r="AO8" s="53">
        <v>120.1</v>
      </c>
      <c r="AP8" s="53"/>
      <c r="AQ8" s="85"/>
      <c r="AR8" s="186">
        <f>11200/60</f>
        <v>186.66666666666666</v>
      </c>
      <c r="AS8" s="109">
        <v>53.2</v>
      </c>
      <c r="AT8" s="86">
        <f t="shared" si="4"/>
        <v>0.59584000000000004</v>
      </c>
      <c r="AU8" s="110">
        <f t="shared" ref="AU8:AU13" si="25">31*24</f>
        <v>744</v>
      </c>
      <c r="AV8" s="86">
        <f t="shared" si="15"/>
        <v>443.30496000000005</v>
      </c>
      <c r="AW8" s="214" t="s">
        <v>422</v>
      </c>
      <c r="AX8" s="53">
        <v>120.6</v>
      </c>
      <c r="AY8" s="53"/>
      <c r="AZ8" s="85"/>
      <c r="BA8" s="186">
        <f>11200/60</f>
        <v>186.66666666666666</v>
      </c>
      <c r="BB8" s="109">
        <v>41.3</v>
      </c>
      <c r="BC8" s="86">
        <f t="shared" si="5"/>
        <v>0.46255999999999992</v>
      </c>
      <c r="BD8" s="190">
        <f t="shared" ref="BD8:BD13" si="26">30*24</f>
        <v>720</v>
      </c>
      <c r="BE8" s="86">
        <f t="shared" si="16"/>
        <v>333.04319999999996</v>
      </c>
      <c r="BF8" s="214" t="s">
        <v>422</v>
      </c>
      <c r="BG8" s="53">
        <v>120.6</v>
      </c>
      <c r="BH8" s="53"/>
      <c r="BI8" s="85"/>
      <c r="BJ8" s="186">
        <f>11200/60</f>
        <v>186.66666666666666</v>
      </c>
      <c r="BK8" s="109">
        <v>41.3</v>
      </c>
      <c r="BL8" s="86">
        <f t="shared" si="6"/>
        <v>0.46255999999999992</v>
      </c>
      <c r="BM8" s="52">
        <f t="shared" ref="BM8:BM13" si="27">31*24</f>
        <v>744</v>
      </c>
      <c r="BN8" s="86">
        <f t="shared" si="17"/>
        <v>344.14463999999992</v>
      </c>
      <c r="BO8" s="214" t="s">
        <v>422</v>
      </c>
      <c r="BP8" s="53">
        <v>120.6</v>
      </c>
      <c r="BQ8" s="53"/>
      <c r="BR8" s="85"/>
      <c r="BS8" s="186">
        <f>11200/60</f>
        <v>186.66666666666666</v>
      </c>
      <c r="BT8" s="109">
        <v>41.3</v>
      </c>
      <c r="BU8" s="86">
        <f t="shared" si="7"/>
        <v>0.46255999999999992</v>
      </c>
      <c r="BV8" s="190">
        <f t="shared" ref="BV8:BV13" si="28">31*24</f>
        <v>744</v>
      </c>
      <c r="BW8" s="86">
        <f t="shared" si="18"/>
        <v>344.14463999999992</v>
      </c>
      <c r="BX8" s="214" t="s">
        <v>422</v>
      </c>
      <c r="BY8" s="53">
        <v>120.6</v>
      </c>
      <c r="BZ8" s="53"/>
      <c r="CA8" s="85"/>
      <c r="CB8" s="186">
        <f>11200/60</f>
        <v>186.66666666666666</v>
      </c>
      <c r="CC8" s="109">
        <v>41.3</v>
      </c>
      <c r="CD8" s="86">
        <f t="shared" si="8"/>
        <v>0.46255999999999992</v>
      </c>
      <c r="CE8" s="52">
        <f>30*24</f>
        <v>720</v>
      </c>
      <c r="CF8" s="86">
        <f t="shared" si="19"/>
        <v>333.04319999999996</v>
      </c>
      <c r="CG8" s="191" t="s">
        <v>423</v>
      </c>
      <c r="CH8" s="56">
        <v>122.7</v>
      </c>
      <c r="CI8" s="56"/>
      <c r="CJ8" s="184"/>
      <c r="CK8" s="186">
        <f>9500/60</f>
        <v>158.33333333333334</v>
      </c>
      <c r="CL8" s="188">
        <v>42.6</v>
      </c>
      <c r="CM8" s="86">
        <f t="shared" si="9"/>
        <v>0.40470000000000006</v>
      </c>
      <c r="CN8" s="31">
        <f t="shared" ref="CN8:CN12" si="29">31*24</f>
        <v>744</v>
      </c>
      <c r="CO8" s="86">
        <f t="shared" si="20"/>
        <v>301.09680000000003</v>
      </c>
      <c r="CP8" s="191" t="s">
        <v>423</v>
      </c>
      <c r="CQ8" s="56">
        <v>122.7</v>
      </c>
      <c r="CR8" s="56"/>
      <c r="CS8" s="184"/>
      <c r="CT8" s="186">
        <f>9500/60</f>
        <v>158.33333333333334</v>
      </c>
      <c r="CU8" s="188">
        <v>42.6</v>
      </c>
      <c r="CV8" s="86">
        <f t="shared" si="10"/>
        <v>0.40470000000000006</v>
      </c>
      <c r="CW8" s="52">
        <f t="shared" ref="CW8:CW12" si="30">30*24</f>
        <v>720</v>
      </c>
      <c r="CX8" s="86">
        <f t="shared" si="21"/>
        <v>291.38400000000001</v>
      </c>
      <c r="CY8" s="191" t="s">
        <v>423</v>
      </c>
      <c r="CZ8" s="56">
        <v>122.7</v>
      </c>
      <c r="DA8" s="56"/>
      <c r="DB8" s="184"/>
      <c r="DC8" s="186">
        <f>9500/60</f>
        <v>158.33333333333334</v>
      </c>
      <c r="DD8" s="188">
        <v>42.6</v>
      </c>
      <c r="DE8" s="86">
        <f t="shared" si="22"/>
        <v>0.40470000000000006</v>
      </c>
      <c r="DF8" s="52">
        <f t="shared" ref="DF8" si="31">31*24</f>
        <v>744</v>
      </c>
      <c r="DG8" s="86">
        <f t="shared" si="23"/>
        <v>301.09680000000003</v>
      </c>
      <c r="DH8" s="253"/>
      <c r="DI8" s="253"/>
      <c r="DJ8" s="253"/>
      <c r="DK8" s="253"/>
      <c r="DL8" s="253"/>
    </row>
    <row r="9" spans="1:116" ht="12" customHeight="1">
      <c r="A9" s="31" t="s">
        <v>283</v>
      </c>
      <c r="B9" s="31"/>
      <c r="C9" s="53">
        <v>0.8</v>
      </c>
      <c r="D9" s="214" t="s">
        <v>418</v>
      </c>
      <c r="E9" s="190">
        <v>146.5</v>
      </c>
      <c r="F9" s="56"/>
      <c r="G9" s="184"/>
      <c r="H9" s="186">
        <f>10530/60</f>
        <v>175.5</v>
      </c>
      <c r="I9" s="188">
        <v>50</v>
      </c>
      <c r="J9" s="186">
        <f t="shared" si="0"/>
        <v>0.52649999999999997</v>
      </c>
      <c r="K9" s="189">
        <f>17*24+16</f>
        <v>424</v>
      </c>
      <c r="L9" s="186">
        <f t="shared" si="11"/>
        <v>223.23599999999999</v>
      </c>
      <c r="M9" s="214" t="s">
        <v>418</v>
      </c>
      <c r="N9" s="190">
        <v>146.5</v>
      </c>
      <c r="O9" s="56"/>
      <c r="P9" s="184"/>
      <c r="Q9" s="186">
        <f>10530/60</f>
        <v>175.5</v>
      </c>
      <c r="R9" s="188">
        <v>50</v>
      </c>
      <c r="S9" s="186">
        <f t="shared" si="1"/>
        <v>0.52649999999999997</v>
      </c>
      <c r="T9" s="187">
        <v>0</v>
      </c>
      <c r="U9" s="186">
        <f t="shared" si="12"/>
        <v>0</v>
      </c>
      <c r="V9" s="214" t="s">
        <v>418</v>
      </c>
      <c r="W9" s="190">
        <v>146.5</v>
      </c>
      <c r="X9" s="56"/>
      <c r="Y9" s="184"/>
      <c r="Z9" s="186">
        <f>10530/60</f>
        <v>175.5</v>
      </c>
      <c r="AA9" s="188">
        <v>50</v>
      </c>
      <c r="AB9" s="186">
        <f t="shared" si="2"/>
        <v>0.52649999999999997</v>
      </c>
      <c r="AC9" s="190">
        <f>26*24</f>
        <v>624</v>
      </c>
      <c r="AD9" s="86">
        <f t="shared" si="13"/>
        <v>328.536</v>
      </c>
      <c r="AE9" s="214" t="s">
        <v>420</v>
      </c>
      <c r="AF9" s="53">
        <v>145.9</v>
      </c>
      <c r="AG9" s="53"/>
      <c r="AH9" s="85"/>
      <c r="AI9" s="186">
        <f>10500/60</f>
        <v>175</v>
      </c>
      <c r="AJ9" s="109">
        <v>47.7</v>
      </c>
      <c r="AK9" s="86">
        <f t="shared" si="3"/>
        <v>0.50085000000000002</v>
      </c>
      <c r="AL9" s="187">
        <f t="shared" si="24"/>
        <v>720</v>
      </c>
      <c r="AM9" s="86">
        <f t="shared" si="14"/>
        <v>360.61200000000002</v>
      </c>
      <c r="AN9" s="214" t="s">
        <v>420</v>
      </c>
      <c r="AO9" s="53">
        <v>145.9</v>
      </c>
      <c r="AP9" s="53"/>
      <c r="AQ9" s="85"/>
      <c r="AR9" s="186">
        <f>10500/60</f>
        <v>175</v>
      </c>
      <c r="AS9" s="109">
        <v>47.7</v>
      </c>
      <c r="AT9" s="86">
        <f t="shared" si="4"/>
        <v>0.50085000000000002</v>
      </c>
      <c r="AU9" s="110">
        <f t="shared" si="25"/>
        <v>744</v>
      </c>
      <c r="AV9" s="86">
        <f t="shared" si="15"/>
        <v>372.63240000000002</v>
      </c>
      <c r="AW9" s="214" t="s">
        <v>422</v>
      </c>
      <c r="AX9" s="53">
        <v>117.5</v>
      </c>
      <c r="AY9" s="53"/>
      <c r="AZ9" s="85"/>
      <c r="BA9" s="186">
        <f>10500/60</f>
        <v>175</v>
      </c>
      <c r="BB9" s="109">
        <v>46.5</v>
      </c>
      <c r="BC9" s="86">
        <f t="shared" si="5"/>
        <v>0.48825000000000002</v>
      </c>
      <c r="BD9" s="190">
        <f t="shared" si="26"/>
        <v>720</v>
      </c>
      <c r="BE9" s="86">
        <f t="shared" si="16"/>
        <v>351.54</v>
      </c>
      <c r="BF9" s="214" t="s">
        <v>422</v>
      </c>
      <c r="BG9" s="53">
        <v>117.5</v>
      </c>
      <c r="BH9" s="53"/>
      <c r="BI9" s="85"/>
      <c r="BJ9" s="186">
        <f>10500/60</f>
        <v>175</v>
      </c>
      <c r="BK9" s="109">
        <v>46.5</v>
      </c>
      <c r="BL9" s="86">
        <f t="shared" si="6"/>
        <v>0.48825000000000002</v>
      </c>
      <c r="BM9" s="52">
        <f t="shared" si="27"/>
        <v>744</v>
      </c>
      <c r="BN9" s="86">
        <f t="shared" si="17"/>
        <v>363.25800000000004</v>
      </c>
      <c r="BO9" s="214" t="s">
        <v>422</v>
      </c>
      <c r="BP9" s="53">
        <v>117.5</v>
      </c>
      <c r="BQ9" s="53"/>
      <c r="BR9" s="85"/>
      <c r="BS9" s="186">
        <f>10500/60</f>
        <v>175</v>
      </c>
      <c r="BT9" s="109">
        <v>46.5</v>
      </c>
      <c r="BU9" s="86">
        <f t="shared" si="7"/>
        <v>0.48825000000000002</v>
      </c>
      <c r="BV9" s="190">
        <f t="shared" si="28"/>
        <v>744</v>
      </c>
      <c r="BW9" s="86">
        <f t="shared" si="18"/>
        <v>363.25800000000004</v>
      </c>
      <c r="BX9" s="214" t="s">
        <v>422</v>
      </c>
      <c r="BY9" s="53">
        <v>117.5</v>
      </c>
      <c r="BZ9" s="53"/>
      <c r="CA9" s="85"/>
      <c r="CB9" s="186">
        <f>10500/60</f>
        <v>175</v>
      </c>
      <c r="CC9" s="109">
        <v>46.5</v>
      </c>
      <c r="CD9" s="86">
        <f t="shared" si="8"/>
        <v>0.48825000000000002</v>
      </c>
      <c r="CE9" s="52">
        <f t="shared" ref="CE9:CE12" si="32">30*24</f>
        <v>720</v>
      </c>
      <c r="CF9" s="86">
        <f t="shared" si="19"/>
        <v>351.54</v>
      </c>
      <c r="CG9" s="191" t="s">
        <v>423</v>
      </c>
      <c r="CH9" s="56">
        <v>118.6</v>
      </c>
      <c r="CI9" s="56"/>
      <c r="CJ9" s="184"/>
      <c r="CK9" s="186">
        <f>11650/60</f>
        <v>194.16666666666666</v>
      </c>
      <c r="CL9" s="188">
        <v>43.9</v>
      </c>
      <c r="CM9" s="86">
        <f t="shared" si="9"/>
        <v>0.51143499999999997</v>
      </c>
      <c r="CN9" s="31">
        <f t="shared" si="29"/>
        <v>744</v>
      </c>
      <c r="CO9" s="86">
        <f t="shared" si="20"/>
        <v>380.50763999999998</v>
      </c>
      <c r="CP9" s="191" t="s">
        <v>423</v>
      </c>
      <c r="CQ9" s="56">
        <v>118.6</v>
      </c>
      <c r="CR9" s="56"/>
      <c r="CS9" s="184"/>
      <c r="CT9" s="186">
        <f>11650/60</f>
        <v>194.16666666666666</v>
      </c>
      <c r="CU9" s="188">
        <v>43.9</v>
      </c>
      <c r="CV9" s="86">
        <f t="shared" si="10"/>
        <v>0.51143499999999997</v>
      </c>
      <c r="CW9" s="52">
        <f t="shared" si="30"/>
        <v>720</v>
      </c>
      <c r="CX9" s="86">
        <f t="shared" si="21"/>
        <v>368.23319999999995</v>
      </c>
      <c r="CY9" s="191" t="s">
        <v>423</v>
      </c>
      <c r="CZ9" s="56">
        <v>118.6</v>
      </c>
      <c r="DA9" s="56"/>
      <c r="DB9" s="184"/>
      <c r="DC9" s="186">
        <f>11650/60</f>
        <v>194.16666666666666</v>
      </c>
      <c r="DD9" s="188">
        <v>43.9</v>
      </c>
      <c r="DE9" s="86">
        <f t="shared" si="22"/>
        <v>0.51143499999999997</v>
      </c>
      <c r="DF9" s="52">
        <f>31*24</f>
        <v>744</v>
      </c>
      <c r="DG9" s="86">
        <f t="shared" si="23"/>
        <v>380.50763999999998</v>
      </c>
      <c r="DH9" s="253"/>
      <c r="DI9" s="253"/>
      <c r="DJ9" s="253"/>
      <c r="DK9" s="253"/>
      <c r="DL9" s="253"/>
    </row>
    <row r="10" spans="1:116" ht="12" customHeight="1">
      <c r="A10" s="31" t="s">
        <v>284</v>
      </c>
      <c r="B10" s="31"/>
      <c r="C10" s="53">
        <v>0.8</v>
      </c>
      <c r="D10" s="55" t="s">
        <v>417</v>
      </c>
      <c r="E10" s="53">
        <v>157.30000000000001</v>
      </c>
      <c r="F10" s="53"/>
      <c r="G10" s="85"/>
      <c r="H10" s="86">
        <f>10120/60</f>
        <v>168.66666666666666</v>
      </c>
      <c r="I10" s="109">
        <v>51</v>
      </c>
      <c r="J10" s="186">
        <f t="shared" si="0"/>
        <v>0.51612000000000002</v>
      </c>
      <c r="K10" s="189">
        <f t="shared" ref="K10:K11" si="33">16*24</f>
        <v>384</v>
      </c>
      <c r="L10" s="186">
        <f t="shared" si="11"/>
        <v>198.19008000000002</v>
      </c>
      <c r="M10" s="55" t="s">
        <v>417</v>
      </c>
      <c r="N10" s="53">
        <v>157.30000000000001</v>
      </c>
      <c r="O10" s="53"/>
      <c r="P10" s="85"/>
      <c r="Q10" s="86">
        <f>10120/60</f>
        <v>168.66666666666666</v>
      </c>
      <c r="R10" s="109">
        <v>51</v>
      </c>
      <c r="S10" s="186">
        <f t="shared" si="1"/>
        <v>0.51612000000000002</v>
      </c>
      <c r="T10" s="187">
        <f t="shared" ref="T10:T11" si="34">13*24+16</f>
        <v>328</v>
      </c>
      <c r="U10" s="186">
        <f t="shared" si="12"/>
        <v>169.28736000000001</v>
      </c>
      <c r="V10" s="55" t="s">
        <v>417</v>
      </c>
      <c r="W10" s="53">
        <v>157.30000000000001</v>
      </c>
      <c r="X10" s="53"/>
      <c r="Y10" s="85"/>
      <c r="Z10" s="86">
        <f>10120/60</f>
        <v>168.66666666666666</v>
      </c>
      <c r="AA10" s="109">
        <v>51</v>
      </c>
      <c r="AB10" s="186">
        <f t="shared" si="2"/>
        <v>0.51612000000000002</v>
      </c>
      <c r="AC10" s="190">
        <f t="shared" ref="AC10:AC13" si="35">31*24</f>
        <v>744</v>
      </c>
      <c r="AD10" s="86">
        <f t="shared" si="13"/>
        <v>383.99328000000003</v>
      </c>
      <c r="AE10" s="214" t="s">
        <v>420</v>
      </c>
      <c r="AF10" s="53">
        <v>152.30000000000001</v>
      </c>
      <c r="AG10" s="53"/>
      <c r="AH10" s="85"/>
      <c r="AI10" s="86">
        <f>10700/60</f>
        <v>178.33333333333334</v>
      </c>
      <c r="AJ10" s="109">
        <v>54.6</v>
      </c>
      <c r="AK10" s="86">
        <f t="shared" si="3"/>
        <v>0.58421999999999996</v>
      </c>
      <c r="AL10" s="187">
        <f t="shared" si="24"/>
        <v>720</v>
      </c>
      <c r="AM10" s="86">
        <f t="shared" si="14"/>
        <v>420.63839999999999</v>
      </c>
      <c r="AN10" s="214" t="s">
        <v>420</v>
      </c>
      <c r="AO10" s="53">
        <v>152.30000000000001</v>
      </c>
      <c r="AP10" s="53"/>
      <c r="AQ10" s="85"/>
      <c r="AR10" s="86">
        <f>10700/60</f>
        <v>178.33333333333334</v>
      </c>
      <c r="AS10" s="109">
        <v>54.6</v>
      </c>
      <c r="AT10" s="86">
        <f t="shared" si="4"/>
        <v>0.58421999999999996</v>
      </c>
      <c r="AU10" s="110">
        <f t="shared" si="25"/>
        <v>744</v>
      </c>
      <c r="AV10" s="86">
        <f t="shared" si="15"/>
        <v>434.65967999999998</v>
      </c>
      <c r="AW10" s="214" t="s">
        <v>422</v>
      </c>
      <c r="AX10" s="53">
        <v>125.8</v>
      </c>
      <c r="AY10" s="53"/>
      <c r="AZ10" s="85"/>
      <c r="BA10" s="86">
        <f>10700/60</f>
        <v>178.33333333333334</v>
      </c>
      <c r="BB10" s="109">
        <v>43.7</v>
      </c>
      <c r="BC10" s="86">
        <f t="shared" si="5"/>
        <v>0.46759000000000006</v>
      </c>
      <c r="BD10" s="190">
        <f t="shared" si="26"/>
        <v>720</v>
      </c>
      <c r="BE10" s="86">
        <f t="shared" si="16"/>
        <v>336.66480000000007</v>
      </c>
      <c r="BF10" s="214" t="s">
        <v>422</v>
      </c>
      <c r="BG10" s="53">
        <v>125.8</v>
      </c>
      <c r="BH10" s="53"/>
      <c r="BI10" s="85"/>
      <c r="BJ10" s="86">
        <f>10700/60</f>
        <v>178.33333333333334</v>
      </c>
      <c r="BK10" s="109">
        <v>43.7</v>
      </c>
      <c r="BL10" s="86">
        <f t="shared" si="6"/>
        <v>0.46759000000000006</v>
      </c>
      <c r="BM10" s="52">
        <f t="shared" si="27"/>
        <v>744</v>
      </c>
      <c r="BN10" s="86">
        <f t="shared" si="17"/>
        <v>347.88696000000004</v>
      </c>
      <c r="BO10" s="214" t="s">
        <v>422</v>
      </c>
      <c r="BP10" s="53">
        <v>125.8</v>
      </c>
      <c r="BQ10" s="53"/>
      <c r="BR10" s="85"/>
      <c r="BS10" s="86">
        <f>10700/60</f>
        <v>178.33333333333334</v>
      </c>
      <c r="BT10" s="109">
        <v>43.7</v>
      </c>
      <c r="BU10" s="86">
        <f t="shared" si="7"/>
        <v>0.46759000000000006</v>
      </c>
      <c r="BV10" s="190">
        <f t="shared" si="28"/>
        <v>744</v>
      </c>
      <c r="BW10" s="86">
        <f t="shared" si="18"/>
        <v>347.88696000000004</v>
      </c>
      <c r="BX10" s="214" t="s">
        <v>422</v>
      </c>
      <c r="BY10" s="53">
        <v>125.8</v>
      </c>
      <c r="BZ10" s="53"/>
      <c r="CA10" s="85"/>
      <c r="CB10" s="86">
        <f>10700/60</f>
        <v>178.33333333333334</v>
      </c>
      <c r="CC10" s="109">
        <v>43.7</v>
      </c>
      <c r="CD10" s="86">
        <f t="shared" si="8"/>
        <v>0.46759000000000006</v>
      </c>
      <c r="CE10" s="52">
        <f t="shared" si="32"/>
        <v>720</v>
      </c>
      <c r="CF10" s="86">
        <f t="shared" si="19"/>
        <v>336.66480000000007</v>
      </c>
      <c r="CG10" s="214" t="s">
        <v>422</v>
      </c>
      <c r="CH10" s="53">
        <v>125.8</v>
      </c>
      <c r="CI10" s="53"/>
      <c r="CJ10" s="85"/>
      <c r="CK10" s="86">
        <f>10700/60</f>
        <v>178.33333333333334</v>
      </c>
      <c r="CL10" s="109">
        <v>43.7</v>
      </c>
      <c r="CM10" s="86">
        <f t="shared" si="9"/>
        <v>0.46759000000000006</v>
      </c>
      <c r="CN10" s="31">
        <f t="shared" si="29"/>
        <v>744</v>
      </c>
      <c r="CO10" s="86">
        <f t="shared" si="20"/>
        <v>347.88696000000004</v>
      </c>
      <c r="CP10" s="214" t="s">
        <v>422</v>
      </c>
      <c r="CQ10" s="53">
        <v>125.8</v>
      </c>
      <c r="CR10" s="53"/>
      <c r="CS10" s="85"/>
      <c r="CT10" s="86">
        <f>10700/60</f>
        <v>178.33333333333334</v>
      </c>
      <c r="CU10" s="109">
        <v>43.7</v>
      </c>
      <c r="CV10" s="86">
        <f t="shared" si="10"/>
        <v>0.46759000000000006</v>
      </c>
      <c r="CW10" s="52">
        <f t="shared" si="30"/>
        <v>720</v>
      </c>
      <c r="CX10" s="86">
        <f t="shared" si="21"/>
        <v>336.66480000000007</v>
      </c>
      <c r="CY10" s="214" t="s">
        <v>422</v>
      </c>
      <c r="CZ10" s="53">
        <v>125.8</v>
      </c>
      <c r="DA10" s="53"/>
      <c r="DB10" s="85"/>
      <c r="DC10" s="86">
        <f>10700/60</f>
        <v>178.33333333333334</v>
      </c>
      <c r="DD10" s="109">
        <v>43.7</v>
      </c>
      <c r="DE10" s="86">
        <f t="shared" si="22"/>
        <v>0.46759000000000006</v>
      </c>
      <c r="DF10" s="52">
        <f t="shared" ref="DF10:DF12" si="36">31*24</f>
        <v>744</v>
      </c>
      <c r="DG10" s="86">
        <f t="shared" si="23"/>
        <v>347.88696000000004</v>
      </c>
      <c r="DH10" s="253"/>
      <c r="DI10" s="253"/>
      <c r="DJ10" s="253"/>
      <c r="DK10" s="253"/>
      <c r="DL10" s="253"/>
    </row>
    <row r="11" spans="1:116" ht="12" customHeight="1">
      <c r="A11" s="31" t="s">
        <v>285</v>
      </c>
      <c r="B11" s="31"/>
      <c r="C11" s="53">
        <v>0.8</v>
      </c>
      <c r="D11" s="55" t="s">
        <v>417</v>
      </c>
      <c r="E11" s="53">
        <v>124.3</v>
      </c>
      <c r="F11" s="53"/>
      <c r="G11" s="85"/>
      <c r="H11" s="86">
        <f>8490/60</f>
        <v>141.5</v>
      </c>
      <c r="I11" s="109">
        <v>52</v>
      </c>
      <c r="J11" s="186">
        <f t="shared" si="0"/>
        <v>0.44147999999999998</v>
      </c>
      <c r="K11" s="189">
        <f t="shared" si="33"/>
        <v>384</v>
      </c>
      <c r="L11" s="186">
        <f t="shared" si="11"/>
        <v>169.52832000000001</v>
      </c>
      <c r="M11" s="55" t="s">
        <v>417</v>
      </c>
      <c r="N11" s="53">
        <v>124.3</v>
      </c>
      <c r="O11" s="53"/>
      <c r="P11" s="85"/>
      <c r="Q11" s="86">
        <f>8490/60</f>
        <v>141.5</v>
      </c>
      <c r="R11" s="109">
        <v>52</v>
      </c>
      <c r="S11" s="186">
        <f t="shared" si="1"/>
        <v>0.44147999999999998</v>
      </c>
      <c r="T11" s="187">
        <f t="shared" si="34"/>
        <v>328</v>
      </c>
      <c r="U11" s="186">
        <f t="shared" si="12"/>
        <v>144.80544</v>
      </c>
      <c r="V11" s="55" t="s">
        <v>417</v>
      </c>
      <c r="W11" s="53">
        <v>124.3</v>
      </c>
      <c r="X11" s="53"/>
      <c r="Y11" s="85"/>
      <c r="Z11" s="86">
        <f>8490/60</f>
        <v>141.5</v>
      </c>
      <c r="AA11" s="109">
        <v>52</v>
      </c>
      <c r="AB11" s="186">
        <f t="shared" si="2"/>
        <v>0.44147999999999998</v>
      </c>
      <c r="AC11" s="190">
        <f t="shared" si="35"/>
        <v>744</v>
      </c>
      <c r="AD11" s="86">
        <f t="shared" si="13"/>
        <v>328.46111999999999</v>
      </c>
      <c r="AE11" s="214" t="s">
        <v>420</v>
      </c>
      <c r="AF11" s="53">
        <v>149.5</v>
      </c>
      <c r="AG11" s="53"/>
      <c r="AH11" s="85"/>
      <c r="AI11" s="86">
        <f>11200/60</f>
        <v>186.66666666666666</v>
      </c>
      <c r="AJ11" s="109">
        <v>48.5</v>
      </c>
      <c r="AK11" s="86">
        <f t="shared" si="3"/>
        <v>0.54319999999999991</v>
      </c>
      <c r="AL11" s="187">
        <f t="shared" si="24"/>
        <v>720</v>
      </c>
      <c r="AM11" s="86">
        <f t="shared" si="14"/>
        <v>391.10399999999993</v>
      </c>
      <c r="AN11" s="214" t="s">
        <v>420</v>
      </c>
      <c r="AO11" s="53">
        <v>149.5</v>
      </c>
      <c r="AP11" s="53"/>
      <c r="AQ11" s="85"/>
      <c r="AR11" s="86">
        <f>11200/60</f>
        <v>186.66666666666666</v>
      </c>
      <c r="AS11" s="109">
        <v>48.5</v>
      </c>
      <c r="AT11" s="86">
        <f t="shared" si="4"/>
        <v>0.54319999999999991</v>
      </c>
      <c r="AU11" s="110">
        <f t="shared" si="25"/>
        <v>744</v>
      </c>
      <c r="AV11" s="86">
        <f t="shared" si="15"/>
        <v>404.14079999999996</v>
      </c>
      <c r="AW11" s="214" t="s">
        <v>422</v>
      </c>
      <c r="AX11" s="53">
        <v>105.7</v>
      </c>
      <c r="AY11" s="53"/>
      <c r="AZ11" s="85"/>
      <c r="BA11" s="86">
        <f>11200/60</f>
        <v>186.66666666666666</v>
      </c>
      <c r="BB11" s="109">
        <v>48.6</v>
      </c>
      <c r="BC11" s="86">
        <f t="shared" si="5"/>
        <v>0.54432000000000003</v>
      </c>
      <c r="BD11" s="190">
        <f t="shared" si="26"/>
        <v>720</v>
      </c>
      <c r="BE11" s="86">
        <f t="shared" si="16"/>
        <v>391.91040000000004</v>
      </c>
      <c r="BF11" s="214" t="s">
        <v>422</v>
      </c>
      <c r="BG11" s="53">
        <v>105.7</v>
      </c>
      <c r="BH11" s="53"/>
      <c r="BI11" s="85"/>
      <c r="BJ11" s="86">
        <f>11200/60</f>
        <v>186.66666666666666</v>
      </c>
      <c r="BK11" s="109">
        <v>48.6</v>
      </c>
      <c r="BL11" s="86">
        <f t="shared" si="6"/>
        <v>0.54432000000000003</v>
      </c>
      <c r="BM11" s="52">
        <f t="shared" si="27"/>
        <v>744</v>
      </c>
      <c r="BN11" s="86">
        <f t="shared" si="17"/>
        <v>404.97408000000001</v>
      </c>
      <c r="BO11" s="214" t="s">
        <v>422</v>
      </c>
      <c r="BP11" s="53">
        <v>105.7</v>
      </c>
      <c r="BQ11" s="53"/>
      <c r="BR11" s="85"/>
      <c r="BS11" s="86">
        <f>11200/60</f>
        <v>186.66666666666666</v>
      </c>
      <c r="BT11" s="109">
        <v>48.6</v>
      </c>
      <c r="BU11" s="86">
        <f t="shared" si="7"/>
        <v>0.54432000000000003</v>
      </c>
      <c r="BV11" s="190">
        <f t="shared" si="28"/>
        <v>744</v>
      </c>
      <c r="BW11" s="86">
        <f t="shared" si="18"/>
        <v>404.97408000000001</v>
      </c>
      <c r="BX11" s="214" t="s">
        <v>422</v>
      </c>
      <c r="BY11" s="53">
        <v>105.7</v>
      </c>
      <c r="BZ11" s="53"/>
      <c r="CA11" s="85"/>
      <c r="CB11" s="86">
        <f>11200/60</f>
        <v>186.66666666666666</v>
      </c>
      <c r="CC11" s="109">
        <v>48.6</v>
      </c>
      <c r="CD11" s="86">
        <f t="shared" si="8"/>
        <v>0.54432000000000003</v>
      </c>
      <c r="CE11" s="52">
        <f t="shared" si="32"/>
        <v>720</v>
      </c>
      <c r="CF11" s="86">
        <f t="shared" si="19"/>
        <v>391.91040000000004</v>
      </c>
      <c r="CG11" s="191" t="s">
        <v>423</v>
      </c>
      <c r="CH11" s="56">
        <v>124.7</v>
      </c>
      <c r="CI11" s="56"/>
      <c r="CJ11" s="184"/>
      <c r="CK11" s="186">
        <f>9340/60</f>
        <v>155.66666666666666</v>
      </c>
      <c r="CL11" s="188">
        <v>44.2</v>
      </c>
      <c r="CM11" s="86">
        <f t="shared" si="9"/>
        <v>0.41282799999999997</v>
      </c>
      <c r="CN11" s="31">
        <f t="shared" si="29"/>
        <v>744</v>
      </c>
      <c r="CO11" s="86">
        <f t="shared" si="20"/>
        <v>307.14403199999998</v>
      </c>
      <c r="CP11" s="191" t="s">
        <v>423</v>
      </c>
      <c r="CQ11" s="56">
        <v>124.7</v>
      </c>
      <c r="CR11" s="56"/>
      <c r="CS11" s="184"/>
      <c r="CT11" s="186">
        <f>9340/60</f>
        <v>155.66666666666666</v>
      </c>
      <c r="CU11" s="188">
        <v>44.2</v>
      </c>
      <c r="CV11" s="86">
        <f t="shared" si="10"/>
        <v>0.41282799999999997</v>
      </c>
      <c r="CW11" s="52">
        <f t="shared" si="30"/>
        <v>720</v>
      </c>
      <c r="CX11" s="86">
        <f t="shared" si="21"/>
        <v>297.23615999999998</v>
      </c>
      <c r="CY11" s="191" t="s">
        <v>423</v>
      </c>
      <c r="CZ11" s="56">
        <v>124.7</v>
      </c>
      <c r="DA11" s="56"/>
      <c r="DB11" s="184"/>
      <c r="DC11" s="186">
        <f>9340/60</f>
        <v>155.66666666666666</v>
      </c>
      <c r="DD11" s="188">
        <v>44.2</v>
      </c>
      <c r="DE11" s="86">
        <f t="shared" si="22"/>
        <v>0.41282799999999997</v>
      </c>
      <c r="DF11" s="52">
        <f t="shared" si="36"/>
        <v>744</v>
      </c>
      <c r="DG11" s="86">
        <f t="shared" si="23"/>
        <v>307.14403199999998</v>
      </c>
      <c r="DH11" s="253"/>
      <c r="DI11" s="253"/>
      <c r="DJ11" s="253"/>
      <c r="DK11" s="253"/>
      <c r="DL11" s="253"/>
    </row>
    <row r="12" spans="1:116" ht="12" customHeight="1">
      <c r="A12" s="31" t="s">
        <v>286</v>
      </c>
      <c r="B12" s="31"/>
      <c r="C12" s="53">
        <v>0.8</v>
      </c>
      <c r="D12" s="55" t="s">
        <v>417</v>
      </c>
      <c r="E12" s="53">
        <v>117.7</v>
      </c>
      <c r="F12" s="53"/>
      <c r="G12" s="85"/>
      <c r="H12" s="86">
        <f>8280/60</f>
        <v>138</v>
      </c>
      <c r="I12" s="109">
        <v>52</v>
      </c>
      <c r="J12" s="186">
        <f t="shared" si="0"/>
        <v>0.43056</v>
      </c>
      <c r="K12" s="189">
        <f t="shared" ref="K12:K13" si="37">17*24+8</f>
        <v>416</v>
      </c>
      <c r="L12" s="186">
        <f t="shared" si="11"/>
        <v>179.11295999999999</v>
      </c>
      <c r="M12" s="55" t="s">
        <v>417</v>
      </c>
      <c r="N12" s="53">
        <v>117.7</v>
      </c>
      <c r="O12" s="53"/>
      <c r="P12" s="85"/>
      <c r="Q12" s="86">
        <f>8280/60</f>
        <v>138</v>
      </c>
      <c r="R12" s="109">
        <v>52</v>
      </c>
      <c r="S12" s="186">
        <f t="shared" si="1"/>
        <v>0.43056</v>
      </c>
      <c r="T12" s="187">
        <f t="shared" ref="T12:T13" si="38">18*24+16</f>
        <v>448</v>
      </c>
      <c r="U12" s="186">
        <f t="shared" si="12"/>
        <v>192.89088000000001</v>
      </c>
      <c r="V12" s="55" t="s">
        <v>417</v>
      </c>
      <c r="W12" s="53">
        <v>117.7</v>
      </c>
      <c r="X12" s="53"/>
      <c r="Y12" s="85"/>
      <c r="Z12" s="86">
        <f>8280/60</f>
        <v>138</v>
      </c>
      <c r="AA12" s="109">
        <v>52</v>
      </c>
      <c r="AB12" s="186">
        <f t="shared" si="2"/>
        <v>0.43056</v>
      </c>
      <c r="AC12" s="190">
        <f t="shared" si="35"/>
        <v>744</v>
      </c>
      <c r="AD12" s="86">
        <f t="shared" si="13"/>
        <v>320.33663999999999</v>
      </c>
      <c r="AE12" s="214" t="s">
        <v>420</v>
      </c>
      <c r="AF12" s="53">
        <v>147.9</v>
      </c>
      <c r="AG12" s="53"/>
      <c r="AH12" s="85"/>
      <c r="AI12" s="86">
        <f>9900/60</f>
        <v>165</v>
      </c>
      <c r="AJ12" s="109">
        <v>49.6</v>
      </c>
      <c r="AK12" s="86">
        <f t="shared" si="3"/>
        <v>0.49103999999999998</v>
      </c>
      <c r="AL12" s="187">
        <f t="shared" si="24"/>
        <v>720</v>
      </c>
      <c r="AM12" s="86">
        <f>AK12*AL12</f>
        <v>353.54879999999997</v>
      </c>
      <c r="AN12" s="214" t="s">
        <v>420</v>
      </c>
      <c r="AO12" s="53">
        <v>147.9</v>
      </c>
      <c r="AP12" s="53"/>
      <c r="AQ12" s="85"/>
      <c r="AR12" s="86">
        <f>9900/60</f>
        <v>165</v>
      </c>
      <c r="AS12" s="109">
        <v>49.6</v>
      </c>
      <c r="AT12" s="86">
        <f t="shared" si="4"/>
        <v>0.49103999999999998</v>
      </c>
      <c r="AU12" s="110">
        <f t="shared" si="25"/>
        <v>744</v>
      </c>
      <c r="AV12" s="86">
        <f t="shared" si="15"/>
        <v>365.33375999999998</v>
      </c>
      <c r="AW12" s="214" t="s">
        <v>420</v>
      </c>
      <c r="AX12" s="53">
        <v>147.9</v>
      </c>
      <c r="AY12" s="53"/>
      <c r="AZ12" s="85"/>
      <c r="BA12" s="86">
        <f>9900/60</f>
        <v>165</v>
      </c>
      <c r="BB12" s="109">
        <v>49.6</v>
      </c>
      <c r="BC12" s="86">
        <f t="shared" si="5"/>
        <v>0.49103999999999998</v>
      </c>
      <c r="BD12" s="190">
        <f t="shared" si="26"/>
        <v>720</v>
      </c>
      <c r="BE12" s="86">
        <f t="shared" si="16"/>
        <v>353.54879999999997</v>
      </c>
      <c r="BF12" s="214" t="s">
        <v>420</v>
      </c>
      <c r="BG12" s="53">
        <v>147.9</v>
      </c>
      <c r="BH12" s="53"/>
      <c r="BI12" s="85"/>
      <c r="BJ12" s="86">
        <f>9900/60</f>
        <v>165</v>
      </c>
      <c r="BK12" s="109">
        <v>49.6</v>
      </c>
      <c r="BL12" s="86">
        <f t="shared" si="6"/>
        <v>0.49103999999999998</v>
      </c>
      <c r="BM12" s="52">
        <f t="shared" si="27"/>
        <v>744</v>
      </c>
      <c r="BN12" s="86">
        <f t="shared" si="17"/>
        <v>365.33375999999998</v>
      </c>
      <c r="BO12" s="214" t="s">
        <v>420</v>
      </c>
      <c r="BP12" s="53">
        <v>147.9</v>
      </c>
      <c r="BQ12" s="53"/>
      <c r="BR12" s="85"/>
      <c r="BS12" s="86">
        <f>9900/60</f>
        <v>165</v>
      </c>
      <c r="BT12" s="109">
        <v>49.6</v>
      </c>
      <c r="BU12" s="86">
        <f t="shared" si="7"/>
        <v>0.49103999999999998</v>
      </c>
      <c r="BV12" s="190">
        <f t="shared" si="28"/>
        <v>744</v>
      </c>
      <c r="BW12" s="86">
        <f t="shared" si="18"/>
        <v>365.33375999999998</v>
      </c>
      <c r="BX12" s="214" t="s">
        <v>420</v>
      </c>
      <c r="BY12" s="53">
        <v>147.9</v>
      </c>
      <c r="BZ12" s="53"/>
      <c r="CA12" s="85"/>
      <c r="CB12" s="86">
        <f>9900/60</f>
        <v>165</v>
      </c>
      <c r="CC12" s="109">
        <v>49.6</v>
      </c>
      <c r="CD12" s="86">
        <f t="shared" si="8"/>
        <v>0.49103999999999998</v>
      </c>
      <c r="CE12" s="52">
        <f t="shared" si="32"/>
        <v>720</v>
      </c>
      <c r="CF12" s="86">
        <f t="shared" si="19"/>
        <v>353.54879999999997</v>
      </c>
      <c r="CG12" s="191" t="s">
        <v>423</v>
      </c>
      <c r="CH12" s="56">
        <v>107.8</v>
      </c>
      <c r="CI12" s="56"/>
      <c r="CJ12" s="184"/>
      <c r="CK12" s="186">
        <f>12140/60</f>
        <v>202.33333333333334</v>
      </c>
      <c r="CL12" s="188">
        <v>47.9</v>
      </c>
      <c r="CM12" s="86">
        <f t="shared" si="9"/>
        <v>0.58150599999999997</v>
      </c>
      <c r="CN12" s="31">
        <f t="shared" si="29"/>
        <v>744</v>
      </c>
      <c r="CO12" s="86">
        <f t="shared" si="20"/>
        <v>432.64046399999995</v>
      </c>
      <c r="CP12" s="191" t="s">
        <v>423</v>
      </c>
      <c r="CQ12" s="56">
        <v>107.8</v>
      </c>
      <c r="CR12" s="56"/>
      <c r="CS12" s="184"/>
      <c r="CT12" s="186">
        <f>12140/60</f>
        <v>202.33333333333334</v>
      </c>
      <c r="CU12" s="188">
        <v>47.9</v>
      </c>
      <c r="CV12" s="86">
        <f t="shared" si="10"/>
        <v>0.58150599999999997</v>
      </c>
      <c r="CW12" s="52">
        <f t="shared" si="30"/>
        <v>720</v>
      </c>
      <c r="CX12" s="86">
        <f t="shared" si="21"/>
        <v>418.68431999999996</v>
      </c>
      <c r="CY12" s="191" t="s">
        <v>423</v>
      </c>
      <c r="CZ12" s="56">
        <v>107.8</v>
      </c>
      <c r="DA12" s="56"/>
      <c r="DB12" s="184"/>
      <c r="DC12" s="186">
        <f>12140/60</f>
        <v>202.33333333333334</v>
      </c>
      <c r="DD12" s="188">
        <v>47.9</v>
      </c>
      <c r="DE12" s="86">
        <f t="shared" si="22"/>
        <v>0.58150599999999997</v>
      </c>
      <c r="DF12" s="52">
        <f t="shared" si="36"/>
        <v>744</v>
      </c>
      <c r="DG12" s="86">
        <f t="shared" si="23"/>
        <v>432.64046399999995</v>
      </c>
      <c r="DH12" s="253"/>
      <c r="DI12" s="253"/>
      <c r="DJ12" s="253"/>
      <c r="DK12" s="253"/>
      <c r="DL12" s="253"/>
    </row>
    <row r="13" spans="1:116" ht="12" customHeight="1">
      <c r="A13" s="31" t="s">
        <v>287</v>
      </c>
      <c r="B13" s="31"/>
      <c r="C13" s="53">
        <v>0.8</v>
      </c>
      <c r="D13" s="214" t="s">
        <v>418</v>
      </c>
      <c r="E13" s="56">
        <v>150.4</v>
      </c>
      <c r="F13" s="56"/>
      <c r="G13" s="184"/>
      <c r="H13" s="186">
        <f>10650/60</f>
        <v>177.5</v>
      </c>
      <c r="I13" s="188">
        <v>51</v>
      </c>
      <c r="J13" s="186">
        <f t="shared" si="0"/>
        <v>0.54315000000000002</v>
      </c>
      <c r="K13" s="189">
        <f t="shared" si="37"/>
        <v>416</v>
      </c>
      <c r="L13" s="186">
        <f t="shared" si="11"/>
        <v>225.9504</v>
      </c>
      <c r="M13" s="214" t="s">
        <v>418</v>
      </c>
      <c r="N13" s="56">
        <v>150.4</v>
      </c>
      <c r="O13" s="56"/>
      <c r="P13" s="184"/>
      <c r="Q13" s="186">
        <f>10650/60</f>
        <v>177.5</v>
      </c>
      <c r="R13" s="188">
        <v>51</v>
      </c>
      <c r="S13" s="186">
        <f t="shared" si="1"/>
        <v>0.54315000000000002</v>
      </c>
      <c r="T13" s="187">
        <f t="shared" si="38"/>
        <v>448</v>
      </c>
      <c r="U13" s="186">
        <f t="shared" si="12"/>
        <v>243.33120000000002</v>
      </c>
      <c r="V13" s="214" t="s">
        <v>418</v>
      </c>
      <c r="W13" s="56">
        <v>150.4</v>
      </c>
      <c r="X13" s="56"/>
      <c r="Y13" s="184"/>
      <c r="Z13" s="186">
        <f>10650/60</f>
        <v>177.5</v>
      </c>
      <c r="AA13" s="188">
        <v>51</v>
      </c>
      <c r="AB13" s="186">
        <f t="shared" si="2"/>
        <v>0.54315000000000002</v>
      </c>
      <c r="AC13" s="190">
        <f t="shared" si="35"/>
        <v>744</v>
      </c>
      <c r="AD13" s="86">
        <f t="shared" si="13"/>
        <v>404.10360000000003</v>
      </c>
      <c r="AE13" s="214" t="s">
        <v>418</v>
      </c>
      <c r="AF13" s="56">
        <v>150.4</v>
      </c>
      <c r="AG13" s="56"/>
      <c r="AH13" s="184"/>
      <c r="AI13" s="186">
        <f>10650/60</f>
        <v>177.5</v>
      </c>
      <c r="AJ13" s="188">
        <v>51</v>
      </c>
      <c r="AK13" s="86">
        <f t="shared" si="3"/>
        <v>0.54315000000000002</v>
      </c>
      <c r="AL13" s="187">
        <f t="shared" si="24"/>
        <v>720</v>
      </c>
      <c r="AM13" s="86">
        <f t="shared" si="14"/>
        <v>391.06800000000004</v>
      </c>
      <c r="AN13" s="214" t="s">
        <v>418</v>
      </c>
      <c r="AO13" s="56">
        <v>150.4</v>
      </c>
      <c r="AP13" s="56"/>
      <c r="AQ13" s="184"/>
      <c r="AR13" s="186">
        <f>10650/60</f>
        <v>177.5</v>
      </c>
      <c r="AS13" s="188">
        <v>51</v>
      </c>
      <c r="AT13" s="86">
        <f t="shared" si="4"/>
        <v>0.54315000000000002</v>
      </c>
      <c r="AU13" s="110">
        <f t="shared" si="25"/>
        <v>744</v>
      </c>
      <c r="AV13" s="86">
        <f t="shared" si="15"/>
        <v>404.10360000000003</v>
      </c>
      <c r="AW13" s="214" t="s">
        <v>418</v>
      </c>
      <c r="AX13" s="56">
        <v>150.4</v>
      </c>
      <c r="AY13" s="56"/>
      <c r="AZ13" s="184"/>
      <c r="BA13" s="186">
        <f>10650/60</f>
        <v>177.5</v>
      </c>
      <c r="BB13" s="188">
        <v>51</v>
      </c>
      <c r="BC13" s="86">
        <f t="shared" si="5"/>
        <v>0.54315000000000002</v>
      </c>
      <c r="BD13" s="190">
        <f t="shared" si="26"/>
        <v>720</v>
      </c>
      <c r="BE13" s="86">
        <f t="shared" si="16"/>
        <v>391.06800000000004</v>
      </c>
      <c r="BF13" s="214" t="s">
        <v>418</v>
      </c>
      <c r="BG13" s="56">
        <v>150.4</v>
      </c>
      <c r="BH13" s="56"/>
      <c r="BI13" s="184"/>
      <c r="BJ13" s="186">
        <f>10650/60</f>
        <v>177.5</v>
      </c>
      <c r="BK13" s="188">
        <v>51</v>
      </c>
      <c r="BL13" s="86">
        <f t="shared" si="6"/>
        <v>0.54315000000000002</v>
      </c>
      <c r="BM13" s="52">
        <f t="shared" si="27"/>
        <v>744</v>
      </c>
      <c r="BN13" s="86">
        <f t="shared" si="17"/>
        <v>404.10360000000003</v>
      </c>
      <c r="BO13" s="214" t="s">
        <v>418</v>
      </c>
      <c r="BP13" s="56">
        <v>150.4</v>
      </c>
      <c r="BQ13" s="56"/>
      <c r="BR13" s="184"/>
      <c r="BS13" s="186">
        <f>10650/60</f>
        <v>177.5</v>
      </c>
      <c r="BT13" s="188">
        <v>51</v>
      </c>
      <c r="BU13" s="86">
        <f t="shared" si="7"/>
        <v>0.54315000000000002</v>
      </c>
      <c r="BV13" s="190">
        <f t="shared" si="28"/>
        <v>744</v>
      </c>
      <c r="BW13" s="86">
        <f t="shared" si="18"/>
        <v>404.10360000000003</v>
      </c>
      <c r="BX13" s="214" t="s">
        <v>418</v>
      </c>
      <c r="BY13" s="56">
        <v>150.4</v>
      </c>
      <c r="BZ13" s="56"/>
      <c r="CA13" s="184"/>
      <c r="CB13" s="186">
        <f>10650/60</f>
        <v>177.5</v>
      </c>
      <c r="CC13" s="188">
        <v>51</v>
      </c>
      <c r="CD13" s="86">
        <f t="shared" si="8"/>
        <v>0.54315000000000002</v>
      </c>
      <c r="CE13" s="52">
        <f>2*24</f>
        <v>48</v>
      </c>
      <c r="CF13" s="86">
        <f t="shared" si="19"/>
        <v>26.071200000000001</v>
      </c>
      <c r="CG13" s="191" t="s">
        <v>423</v>
      </c>
      <c r="CH13" s="56">
        <v>111.4</v>
      </c>
      <c r="CI13" s="56"/>
      <c r="CJ13" s="184"/>
      <c r="CK13" s="186">
        <f>10450/60</f>
        <v>174.16666666666666</v>
      </c>
      <c r="CL13" s="188">
        <v>46.2</v>
      </c>
      <c r="CM13" s="86">
        <f t="shared" si="9"/>
        <v>0.48279</v>
      </c>
      <c r="CN13" s="31">
        <v>0</v>
      </c>
      <c r="CO13" s="86">
        <f t="shared" si="20"/>
        <v>0</v>
      </c>
      <c r="CP13" s="191" t="s">
        <v>423</v>
      </c>
      <c r="CQ13" s="56">
        <v>111.4</v>
      </c>
      <c r="CR13" s="56"/>
      <c r="CS13" s="184"/>
      <c r="CT13" s="186">
        <f>10450/60</f>
        <v>174.16666666666666</v>
      </c>
      <c r="CU13" s="188">
        <v>46.2</v>
      </c>
      <c r="CV13" s="86">
        <f t="shared" si="10"/>
        <v>0.48279</v>
      </c>
      <c r="CW13" s="52">
        <v>0</v>
      </c>
      <c r="CX13" s="86">
        <f t="shared" si="21"/>
        <v>0</v>
      </c>
      <c r="CY13" s="191" t="s">
        <v>423</v>
      </c>
      <c r="CZ13" s="56">
        <v>111.4</v>
      </c>
      <c r="DA13" s="56"/>
      <c r="DB13" s="184"/>
      <c r="DC13" s="186">
        <f>10450/60</f>
        <v>174.16666666666666</v>
      </c>
      <c r="DD13" s="188">
        <v>46.2</v>
      </c>
      <c r="DE13" s="86">
        <f t="shared" si="22"/>
        <v>0.48279</v>
      </c>
      <c r="DF13" s="52">
        <f>26*24</f>
        <v>624</v>
      </c>
      <c r="DG13" s="86">
        <f t="shared" si="23"/>
        <v>301.26096000000001</v>
      </c>
      <c r="DH13" s="253"/>
      <c r="DI13" s="253"/>
      <c r="DJ13" s="253"/>
      <c r="DK13" s="253"/>
      <c r="DL13" s="253"/>
    </row>
    <row r="14" spans="1:116" ht="12" customHeight="1">
      <c r="A14" s="31" t="s">
        <v>288</v>
      </c>
      <c r="B14" s="31"/>
      <c r="C14" s="53">
        <v>0.8</v>
      </c>
      <c r="D14" s="214" t="s">
        <v>418</v>
      </c>
      <c r="E14" s="56">
        <v>120.1</v>
      </c>
      <c r="F14" s="56"/>
      <c r="G14" s="184"/>
      <c r="H14" s="186">
        <f>10700/60</f>
        <v>178.33333333333334</v>
      </c>
      <c r="I14" s="188">
        <v>52.5</v>
      </c>
      <c r="J14" s="186">
        <f t="shared" si="0"/>
        <v>0.56174999999999997</v>
      </c>
      <c r="K14" s="189">
        <f t="shared" ref="K14:K15" si="39">17*24+16</f>
        <v>424</v>
      </c>
      <c r="L14" s="186">
        <f t="shared" si="11"/>
        <v>238.18199999999999</v>
      </c>
      <c r="M14" s="214" t="s">
        <v>418</v>
      </c>
      <c r="N14" s="56">
        <v>120.1</v>
      </c>
      <c r="O14" s="56"/>
      <c r="P14" s="184"/>
      <c r="Q14" s="186">
        <f>10700/60</f>
        <v>178.33333333333334</v>
      </c>
      <c r="R14" s="188">
        <v>52.5</v>
      </c>
      <c r="S14" s="186">
        <f t="shared" si="1"/>
        <v>0.56174999999999997</v>
      </c>
      <c r="T14" s="187">
        <v>0</v>
      </c>
      <c r="U14" s="186">
        <f t="shared" si="12"/>
        <v>0</v>
      </c>
      <c r="V14" s="214" t="s">
        <v>418</v>
      </c>
      <c r="W14" s="56">
        <v>120.1</v>
      </c>
      <c r="X14" s="56"/>
      <c r="Y14" s="184"/>
      <c r="Z14" s="186">
        <f>10700/60</f>
        <v>178.33333333333334</v>
      </c>
      <c r="AA14" s="188">
        <v>52.5</v>
      </c>
      <c r="AB14" s="186">
        <f t="shared" si="2"/>
        <v>0.56174999999999997</v>
      </c>
      <c r="AC14" s="190">
        <f>26*24</f>
        <v>624</v>
      </c>
      <c r="AD14" s="86">
        <f t="shared" si="13"/>
        <v>350.53199999999998</v>
      </c>
      <c r="AE14" s="214" t="s">
        <v>418</v>
      </c>
      <c r="AF14" s="56">
        <v>120.1</v>
      </c>
      <c r="AG14" s="56"/>
      <c r="AH14" s="184"/>
      <c r="AI14" s="186">
        <f>10700/60</f>
        <v>178.33333333333334</v>
      </c>
      <c r="AJ14" s="188">
        <v>52.5</v>
      </c>
      <c r="AK14" s="86">
        <f t="shared" si="3"/>
        <v>0.56174999999999997</v>
      </c>
      <c r="AL14" s="187">
        <f>4*24+6</f>
        <v>102</v>
      </c>
      <c r="AM14" s="86">
        <f t="shared" si="14"/>
        <v>57.298499999999997</v>
      </c>
      <c r="AN14" s="214" t="s">
        <v>418</v>
      </c>
      <c r="AO14" s="56">
        <v>120.1</v>
      </c>
      <c r="AP14" s="56"/>
      <c r="AQ14" s="184"/>
      <c r="AR14" s="186">
        <f>10700/60</f>
        <v>178.33333333333334</v>
      </c>
      <c r="AS14" s="188">
        <v>52.5</v>
      </c>
      <c r="AT14" s="86">
        <f t="shared" si="4"/>
        <v>0.56174999999999997</v>
      </c>
      <c r="AU14" s="110">
        <v>0</v>
      </c>
      <c r="AV14" s="86">
        <f t="shared" si="15"/>
        <v>0</v>
      </c>
      <c r="AW14" s="214" t="s">
        <v>418</v>
      </c>
      <c r="AX14" s="56">
        <v>120.1</v>
      </c>
      <c r="AY14" s="56"/>
      <c r="AZ14" s="184"/>
      <c r="BA14" s="186">
        <f>10700/60</f>
        <v>178.33333333333334</v>
      </c>
      <c r="BB14" s="188">
        <v>52.5</v>
      </c>
      <c r="BC14" s="86">
        <f t="shared" si="5"/>
        <v>0.56174999999999997</v>
      </c>
      <c r="BD14" s="190">
        <f>17*24</f>
        <v>408</v>
      </c>
      <c r="BE14" s="86">
        <f t="shared" si="16"/>
        <v>229.19399999999999</v>
      </c>
      <c r="BF14" s="214" t="s">
        <v>418</v>
      </c>
      <c r="BG14" s="56">
        <v>120.1</v>
      </c>
      <c r="BH14" s="56"/>
      <c r="BI14" s="184"/>
      <c r="BJ14" s="186">
        <f>10700/60</f>
        <v>178.33333333333334</v>
      </c>
      <c r="BK14" s="188">
        <v>52.5</v>
      </c>
      <c r="BL14" s="86">
        <f t="shared" si="6"/>
        <v>0.56174999999999997</v>
      </c>
      <c r="BM14" s="52">
        <f>31*24-48</f>
        <v>696</v>
      </c>
      <c r="BN14" s="86">
        <f t="shared" si="17"/>
        <v>390.97799999999995</v>
      </c>
      <c r="BO14" s="214" t="s">
        <v>418</v>
      </c>
      <c r="BP14" s="56">
        <v>120.1</v>
      </c>
      <c r="BQ14" s="56"/>
      <c r="BR14" s="184"/>
      <c r="BS14" s="186">
        <f>10700/60</f>
        <v>178.33333333333334</v>
      </c>
      <c r="BT14" s="188">
        <v>52.5</v>
      </c>
      <c r="BU14" s="86">
        <f t="shared" si="7"/>
        <v>0.56174999999999997</v>
      </c>
      <c r="BV14" s="190">
        <v>0</v>
      </c>
      <c r="BW14" s="86">
        <f t="shared" si="18"/>
        <v>0</v>
      </c>
      <c r="BX14" s="214" t="s">
        <v>418</v>
      </c>
      <c r="BY14" s="56">
        <v>120.1</v>
      </c>
      <c r="BZ14" s="56"/>
      <c r="CA14" s="184"/>
      <c r="CB14" s="186">
        <f>10700/60</f>
        <v>178.33333333333334</v>
      </c>
      <c r="CC14" s="188">
        <v>52.5</v>
      </c>
      <c r="CD14" s="86">
        <f t="shared" si="8"/>
        <v>0.56174999999999997</v>
      </c>
      <c r="CE14" s="52">
        <v>0</v>
      </c>
      <c r="CF14" s="86">
        <f t="shared" si="19"/>
        <v>0</v>
      </c>
      <c r="CG14" s="214" t="s">
        <v>418</v>
      </c>
      <c r="CH14" s="56">
        <v>120.1</v>
      </c>
      <c r="CI14" s="56"/>
      <c r="CJ14" s="184"/>
      <c r="CK14" s="186">
        <f>10700/60</f>
        <v>178.33333333333334</v>
      </c>
      <c r="CL14" s="188">
        <v>52.5</v>
      </c>
      <c r="CM14" s="86">
        <f t="shared" si="9"/>
        <v>0.56174999999999997</v>
      </c>
      <c r="CN14" s="31">
        <v>0</v>
      </c>
      <c r="CO14" s="86">
        <f t="shared" si="20"/>
        <v>0</v>
      </c>
      <c r="CP14" s="214" t="s">
        <v>418</v>
      </c>
      <c r="CQ14" s="56">
        <v>120.1</v>
      </c>
      <c r="CR14" s="56"/>
      <c r="CS14" s="184"/>
      <c r="CT14" s="186">
        <f>10700/60</f>
        <v>178.33333333333334</v>
      </c>
      <c r="CU14" s="188">
        <v>52.5</v>
      </c>
      <c r="CV14" s="86">
        <f t="shared" si="10"/>
        <v>0.56174999999999997</v>
      </c>
      <c r="CW14" s="52">
        <v>0</v>
      </c>
      <c r="CX14" s="86">
        <f t="shared" si="21"/>
        <v>0</v>
      </c>
      <c r="CY14" s="214" t="s">
        <v>418</v>
      </c>
      <c r="CZ14" s="56">
        <v>120.1</v>
      </c>
      <c r="DA14" s="56"/>
      <c r="DB14" s="184"/>
      <c r="DC14" s="186">
        <f>10700/60</f>
        <v>178.33333333333334</v>
      </c>
      <c r="DD14" s="188">
        <v>52.5</v>
      </c>
      <c r="DE14" s="86">
        <f t="shared" si="22"/>
        <v>0.56174999999999997</v>
      </c>
      <c r="DF14" s="52">
        <v>0</v>
      </c>
      <c r="DG14" s="86">
        <f t="shared" si="23"/>
        <v>0</v>
      </c>
      <c r="DH14" s="253"/>
      <c r="DI14" s="253"/>
      <c r="DJ14" s="253"/>
      <c r="DK14" s="253"/>
      <c r="DL14" s="253"/>
    </row>
    <row r="15" spans="1:116">
      <c r="A15" s="31" t="s">
        <v>289</v>
      </c>
      <c r="B15" s="31"/>
      <c r="C15" s="53">
        <v>0.8</v>
      </c>
      <c r="D15" s="214" t="s">
        <v>418</v>
      </c>
      <c r="E15" s="190">
        <v>117.5</v>
      </c>
      <c r="F15" s="190"/>
      <c r="G15" s="190"/>
      <c r="H15" s="186">
        <f>10560/60</f>
        <v>176</v>
      </c>
      <c r="I15" s="188">
        <v>53</v>
      </c>
      <c r="J15" s="186">
        <f t="shared" si="0"/>
        <v>0.55967999999999996</v>
      </c>
      <c r="K15" s="189">
        <f t="shared" si="39"/>
        <v>424</v>
      </c>
      <c r="L15" s="186">
        <f t="shared" si="11"/>
        <v>237.30431999999999</v>
      </c>
      <c r="M15" s="214" t="s">
        <v>418</v>
      </c>
      <c r="N15" s="190">
        <v>117.5</v>
      </c>
      <c r="O15" s="190"/>
      <c r="P15" s="190"/>
      <c r="Q15" s="186">
        <f>10560/60</f>
        <v>176</v>
      </c>
      <c r="R15" s="188">
        <v>53</v>
      </c>
      <c r="S15" s="186">
        <f t="shared" si="1"/>
        <v>0.55967999999999996</v>
      </c>
      <c r="T15" s="187">
        <v>0</v>
      </c>
      <c r="U15" s="186">
        <f t="shared" si="12"/>
        <v>0</v>
      </c>
      <c r="V15" s="214" t="s">
        <v>418</v>
      </c>
      <c r="W15" s="190">
        <v>117.5</v>
      </c>
      <c r="X15" s="190"/>
      <c r="Y15" s="190"/>
      <c r="Z15" s="186">
        <f>10560/60</f>
        <v>176</v>
      </c>
      <c r="AA15" s="188">
        <v>53</v>
      </c>
      <c r="AB15" s="186">
        <f t="shared" si="2"/>
        <v>0.55967999999999996</v>
      </c>
      <c r="AC15" s="190">
        <f>25*24</f>
        <v>600</v>
      </c>
      <c r="AD15" s="86">
        <f t="shared" si="13"/>
        <v>335.80799999999999</v>
      </c>
      <c r="AE15" s="214" t="s">
        <v>418</v>
      </c>
      <c r="AF15" s="190">
        <v>117.5</v>
      </c>
      <c r="AG15" s="190"/>
      <c r="AH15" s="190"/>
      <c r="AI15" s="186">
        <f>10560/60</f>
        <v>176</v>
      </c>
      <c r="AJ15" s="188">
        <v>53</v>
      </c>
      <c r="AK15" s="86">
        <f t="shared" si="3"/>
        <v>0.55967999999999996</v>
      </c>
      <c r="AL15" s="187">
        <f>30*24</f>
        <v>720</v>
      </c>
      <c r="AM15" s="86">
        <f t="shared" si="14"/>
        <v>402.96959999999996</v>
      </c>
      <c r="AN15" s="214" t="s">
        <v>418</v>
      </c>
      <c r="AO15" s="190">
        <v>117.5</v>
      </c>
      <c r="AP15" s="190"/>
      <c r="AQ15" s="190"/>
      <c r="AR15" s="186">
        <f>10560/60</f>
        <v>176</v>
      </c>
      <c r="AS15" s="188">
        <v>53</v>
      </c>
      <c r="AT15" s="86">
        <f t="shared" si="4"/>
        <v>0.55967999999999996</v>
      </c>
      <c r="AU15" s="110">
        <f>31*24</f>
        <v>744</v>
      </c>
      <c r="AV15" s="86">
        <f t="shared" si="15"/>
        <v>416.40191999999996</v>
      </c>
      <c r="AW15" s="214" t="s">
        <v>422</v>
      </c>
      <c r="AX15" s="190">
        <v>109.3</v>
      </c>
      <c r="AY15" s="190"/>
      <c r="AZ15" s="190"/>
      <c r="BA15" s="186">
        <f>10560/60</f>
        <v>176</v>
      </c>
      <c r="BB15" s="188">
        <v>45.8</v>
      </c>
      <c r="BC15" s="86">
        <f t="shared" si="5"/>
        <v>0.48364799999999997</v>
      </c>
      <c r="BD15" s="190">
        <f>30*24</f>
        <v>720</v>
      </c>
      <c r="BE15" s="86">
        <f t="shared" si="16"/>
        <v>348.22655999999995</v>
      </c>
      <c r="BF15" s="214" t="s">
        <v>422</v>
      </c>
      <c r="BG15" s="190">
        <v>109.3</v>
      </c>
      <c r="BH15" s="190"/>
      <c r="BI15" s="190"/>
      <c r="BJ15" s="186">
        <f>10560/60</f>
        <v>176</v>
      </c>
      <c r="BK15" s="188">
        <v>45.8</v>
      </c>
      <c r="BL15" s="86">
        <f t="shared" si="6"/>
        <v>0.48364799999999997</v>
      </c>
      <c r="BM15" s="52">
        <f>31*24</f>
        <v>744</v>
      </c>
      <c r="BN15" s="86">
        <f t="shared" si="17"/>
        <v>359.83411199999995</v>
      </c>
      <c r="BO15" s="214" t="s">
        <v>422</v>
      </c>
      <c r="BP15" s="190">
        <v>109.3</v>
      </c>
      <c r="BQ15" s="190"/>
      <c r="BR15" s="190"/>
      <c r="BS15" s="186">
        <f>10560/60</f>
        <v>176</v>
      </c>
      <c r="BT15" s="188">
        <v>45.8</v>
      </c>
      <c r="BU15" s="86">
        <f t="shared" si="7"/>
        <v>0.48364799999999997</v>
      </c>
      <c r="BV15" s="190">
        <f>31*24</f>
        <v>744</v>
      </c>
      <c r="BW15" s="86">
        <f t="shared" si="18"/>
        <v>359.83411199999995</v>
      </c>
      <c r="BX15" s="214" t="s">
        <v>422</v>
      </c>
      <c r="BY15" s="190">
        <v>109.3</v>
      </c>
      <c r="BZ15" s="190"/>
      <c r="CA15" s="190"/>
      <c r="CB15" s="186">
        <f>10560/60</f>
        <v>176</v>
      </c>
      <c r="CC15" s="188">
        <v>45.8</v>
      </c>
      <c r="CD15" s="86">
        <f t="shared" si="8"/>
        <v>0.48364799999999997</v>
      </c>
      <c r="CE15" s="52">
        <f>30*24</f>
        <v>720</v>
      </c>
      <c r="CF15" s="86">
        <f t="shared" si="19"/>
        <v>348.22655999999995</v>
      </c>
      <c r="CG15" s="214" t="s">
        <v>422</v>
      </c>
      <c r="CH15" s="190">
        <v>109.3</v>
      </c>
      <c r="CI15" s="190"/>
      <c r="CJ15" s="190"/>
      <c r="CK15" s="186">
        <f>10560/60</f>
        <v>176</v>
      </c>
      <c r="CL15" s="188">
        <v>45.8</v>
      </c>
      <c r="CM15" s="86">
        <f t="shared" si="9"/>
        <v>0.48364799999999997</v>
      </c>
      <c r="CN15" s="31">
        <f t="shared" ref="CN15" si="40">31*24</f>
        <v>744</v>
      </c>
      <c r="CO15" s="86">
        <f t="shared" si="20"/>
        <v>359.83411199999995</v>
      </c>
      <c r="CP15" s="214" t="s">
        <v>422</v>
      </c>
      <c r="CQ15" s="190">
        <v>109.3</v>
      </c>
      <c r="CR15" s="190"/>
      <c r="CS15" s="190"/>
      <c r="CT15" s="186">
        <f>10560/60</f>
        <v>176</v>
      </c>
      <c r="CU15" s="188">
        <v>45.8</v>
      </c>
      <c r="CV15" s="86">
        <f t="shared" si="10"/>
        <v>0.48364799999999997</v>
      </c>
      <c r="CW15" s="52">
        <f>30*24</f>
        <v>720</v>
      </c>
      <c r="CX15" s="86">
        <f t="shared" si="21"/>
        <v>348.22655999999995</v>
      </c>
      <c r="CY15" s="214" t="s">
        <v>422</v>
      </c>
      <c r="CZ15" s="190">
        <v>109.3</v>
      </c>
      <c r="DA15" s="190"/>
      <c r="DB15" s="190"/>
      <c r="DC15" s="186">
        <f>10560/60</f>
        <v>176</v>
      </c>
      <c r="DD15" s="188">
        <v>45.8</v>
      </c>
      <c r="DE15" s="86">
        <f t="shared" si="22"/>
        <v>0.48364799999999997</v>
      </c>
      <c r="DF15" s="52">
        <f t="shared" ref="DF15" si="41">31*24</f>
        <v>744</v>
      </c>
      <c r="DG15" s="86">
        <f t="shared" si="23"/>
        <v>359.83411199999995</v>
      </c>
      <c r="DH15" s="253"/>
      <c r="DI15" s="253"/>
      <c r="DJ15" s="253"/>
      <c r="DK15" s="253"/>
      <c r="DL15" s="253"/>
    </row>
    <row r="16" spans="1:116">
      <c r="A16" s="31"/>
      <c r="B16" s="31"/>
      <c r="C16" s="31"/>
      <c r="D16" s="183"/>
      <c r="E16" s="190"/>
      <c r="F16" s="190"/>
      <c r="G16" s="190"/>
      <c r="H16" s="186"/>
      <c r="I16" s="190"/>
      <c r="J16" s="186">
        <f t="shared" si="0"/>
        <v>0</v>
      </c>
      <c r="K16" s="190"/>
      <c r="L16" s="186">
        <f t="shared" si="11"/>
        <v>0</v>
      </c>
      <c r="M16" s="183"/>
      <c r="N16" s="190"/>
      <c r="O16" s="190"/>
      <c r="P16" s="190"/>
      <c r="Q16" s="186"/>
      <c r="R16" s="190"/>
      <c r="S16" s="186">
        <f t="shared" si="1"/>
        <v>0</v>
      </c>
      <c r="T16" s="187"/>
      <c r="U16" s="186">
        <f t="shared" si="12"/>
        <v>0</v>
      </c>
      <c r="V16" s="183"/>
      <c r="W16" s="190"/>
      <c r="X16" s="190"/>
      <c r="Y16" s="190"/>
      <c r="Z16" s="186"/>
      <c r="AA16" s="190"/>
      <c r="AB16" s="186">
        <f t="shared" si="2"/>
        <v>0</v>
      </c>
      <c r="AC16" s="190"/>
      <c r="AD16" s="86">
        <f t="shared" si="13"/>
        <v>0</v>
      </c>
      <c r="AE16" s="55"/>
      <c r="AF16" s="31"/>
      <c r="AG16" s="31"/>
      <c r="AH16" s="31"/>
      <c r="AI16" s="86"/>
      <c r="AJ16" s="31"/>
      <c r="AK16" s="86">
        <f t="shared" si="3"/>
        <v>0</v>
      </c>
      <c r="AL16" s="187"/>
      <c r="AM16" s="86">
        <f t="shared" si="14"/>
        <v>0</v>
      </c>
      <c r="AN16" s="55"/>
      <c r="AO16" s="31"/>
      <c r="AP16" s="31"/>
      <c r="AQ16" s="31"/>
      <c r="AR16" s="86"/>
      <c r="AS16" s="31"/>
      <c r="AT16" s="86">
        <f t="shared" si="4"/>
        <v>0</v>
      </c>
      <c r="AU16" s="110"/>
      <c r="AV16" s="86">
        <f t="shared" si="15"/>
        <v>0</v>
      </c>
      <c r="AW16" s="55"/>
      <c r="AX16" s="31"/>
      <c r="AY16" s="31"/>
      <c r="AZ16" s="31"/>
      <c r="BA16" s="139"/>
      <c r="BB16" s="31"/>
      <c r="BC16" s="86">
        <f t="shared" si="5"/>
        <v>0</v>
      </c>
      <c r="BD16" s="190"/>
      <c r="BE16" s="86">
        <f t="shared" si="16"/>
        <v>0</v>
      </c>
      <c r="BF16" s="55"/>
      <c r="BG16" s="31"/>
      <c r="BH16" s="31"/>
      <c r="BI16" s="31"/>
      <c r="BJ16" s="139"/>
      <c r="BK16" s="31"/>
      <c r="BL16" s="86">
        <f t="shared" si="6"/>
        <v>0</v>
      </c>
      <c r="BM16" s="52"/>
      <c r="BN16" s="86">
        <f t="shared" si="17"/>
        <v>0</v>
      </c>
      <c r="BO16" s="55"/>
      <c r="BP16" s="31"/>
      <c r="BQ16" s="31"/>
      <c r="BR16" s="31"/>
      <c r="BS16" s="139"/>
      <c r="BT16" s="31"/>
      <c r="BU16" s="86">
        <f t="shared" ref="BU16" si="42">BS16*BT16*60/1000000</f>
        <v>0</v>
      </c>
      <c r="BV16" s="31"/>
      <c r="BW16" s="86">
        <f t="shared" si="18"/>
        <v>0</v>
      </c>
      <c r="BX16" s="55"/>
      <c r="BY16" s="31"/>
      <c r="BZ16" s="31"/>
      <c r="CA16" s="31"/>
      <c r="CB16" s="139"/>
      <c r="CC16" s="31"/>
      <c r="CD16" s="86">
        <f t="shared" si="8"/>
        <v>0</v>
      </c>
      <c r="CE16" s="31"/>
      <c r="CF16" s="86">
        <f t="shared" si="19"/>
        <v>0</v>
      </c>
      <c r="CG16" s="55"/>
      <c r="CH16" s="31"/>
      <c r="CI16" s="31"/>
      <c r="CJ16" s="31"/>
      <c r="CK16" s="86">
        <f t="shared" ref="CK16" si="43">((PI()*($C16^2))/4*CJ16*60)</f>
        <v>0</v>
      </c>
      <c r="CL16" s="31"/>
      <c r="CM16" s="86">
        <f t="shared" si="9"/>
        <v>0</v>
      </c>
      <c r="CN16" s="31"/>
      <c r="CO16" s="86">
        <f t="shared" si="20"/>
        <v>0</v>
      </c>
      <c r="CP16" s="55"/>
      <c r="CQ16" s="31"/>
      <c r="CR16" s="31"/>
      <c r="CS16" s="31"/>
      <c r="CT16" s="86">
        <f t="shared" ref="CT16" si="44">((PI()*($C16^2))/4*CS16*60)</f>
        <v>0</v>
      </c>
      <c r="CU16" s="31"/>
      <c r="CV16" s="86">
        <f t="shared" si="10"/>
        <v>0</v>
      </c>
      <c r="CW16" s="31"/>
      <c r="CX16" s="86">
        <f t="shared" si="21"/>
        <v>0</v>
      </c>
      <c r="CY16" s="55"/>
      <c r="CZ16" s="31"/>
      <c r="DA16" s="31"/>
      <c r="DB16" s="31"/>
      <c r="DC16" s="86">
        <f t="shared" ref="DC16" si="45">((PI()*($C16^2))/4*DB16*60)</f>
        <v>0</v>
      </c>
      <c r="DD16" s="31"/>
      <c r="DE16" s="86">
        <f t="shared" si="22"/>
        <v>0</v>
      </c>
      <c r="DF16" s="31"/>
      <c r="DG16" s="86">
        <f t="shared" si="23"/>
        <v>0</v>
      </c>
      <c r="DH16" s="253"/>
      <c r="DI16" s="253"/>
      <c r="DJ16" s="253"/>
      <c r="DK16" s="253"/>
      <c r="DL16" s="253"/>
    </row>
    <row r="17" spans="1:116">
      <c r="A17" s="256" t="s">
        <v>169</v>
      </c>
      <c r="B17" s="256"/>
      <c r="C17" s="256"/>
      <c r="D17" s="45"/>
      <c r="E17" s="45"/>
      <c r="F17" s="45"/>
      <c r="G17" s="48"/>
      <c r="H17" s="48"/>
      <c r="I17" s="48"/>
      <c r="J17" s="48"/>
      <c r="K17" s="49"/>
      <c r="L17" s="50">
        <f>SUM(L5:L16)</f>
        <v>4965.5336799999995</v>
      </c>
      <c r="M17" s="45"/>
      <c r="N17" s="45"/>
      <c r="O17" s="45"/>
      <c r="P17" s="48"/>
      <c r="Q17" s="48"/>
      <c r="R17" s="48"/>
      <c r="S17" s="48"/>
      <c r="T17" s="49"/>
      <c r="U17" s="50">
        <f>SUM(U5:U16)</f>
        <v>2745.7244799999999</v>
      </c>
      <c r="V17" s="45"/>
      <c r="W17" s="45"/>
      <c r="X17" s="45"/>
      <c r="Y17" s="48"/>
      <c r="Z17" s="48"/>
      <c r="AA17" s="48"/>
      <c r="AB17" s="48"/>
      <c r="AC17" s="49"/>
      <c r="AD17" s="50">
        <f>SUM(AD5:AD16)</f>
        <v>7756.6824400000005</v>
      </c>
      <c r="AE17" s="45"/>
      <c r="AF17" s="45"/>
      <c r="AG17" s="45"/>
      <c r="AH17" s="48"/>
      <c r="AI17" s="48"/>
      <c r="AJ17" s="48"/>
      <c r="AK17" s="48"/>
      <c r="AL17" s="49"/>
      <c r="AM17" s="50">
        <f>SUM(AM5:AM16)</f>
        <v>8161.8254999999999</v>
      </c>
      <c r="AN17" s="45"/>
      <c r="AO17" s="45"/>
      <c r="AP17" s="45"/>
      <c r="AQ17" s="48"/>
      <c r="AR17" s="48"/>
      <c r="AS17" s="48"/>
      <c r="AT17" s="48"/>
      <c r="AU17" s="49"/>
      <c r="AV17" s="50">
        <f>SUM(AV5:AV16)</f>
        <v>8392.0459500000015</v>
      </c>
      <c r="AW17" s="45"/>
      <c r="AX17" s="45"/>
      <c r="AY17" s="45"/>
      <c r="AZ17" s="48"/>
      <c r="BA17" s="48"/>
      <c r="BB17" s="48"/>
      <c r="BC17" s="48"/>
      <c r="BD17" s="49"/>
      <c r="BE17" s="50">
        <f>SUM(BE5:BE16)</f>
        <v>7431.4863600000017</v>
      </c>
      <c r="BF17" s="45"/>
      <c r="BG17" s="45"/>
      <c r="BH17" s="45"/>
      <c r="BI17" s="48"/>
      <c r="BJ17" s="48"/>
      <c r="BK17" s="48"/>
      <c r="BL17" s="48"/>
      <c r="BM17" s="49"/>
      <c r="BN17" s="50">
        <f>SUM(BN5:BN16)</f>
        <v>8198.7767320000003</v>
      </c>
      <c r="BO17" s="45"/>
      <c r="BP17" s="45"/>
      <c r="BQ17" s="45"/>
      <c r="BR17" s="48"/>
      <c r="BS17" s="48"/>
      <c r="BT17" s="48"/>
      <c r="BU17" s="48"/>
      <c r="BV17" s="49"/>
      <c r="BW17" s="50">
        <f>SUM(BW5:BW16)</f>
        <v>7231.8217319999994</v>
      </c>
      <c r="BX17" s="45"/>
      <c r="BY17" s="45"/>
      <c r="BZ17" s="45"/>
      <c r="CA17" s="48"/>
      <c r="CB17" s="48"/>
      <c r="CC17" s="48"/>
      <c r="CD17" s="48"/>
      <c r="CE17" s="49"/>
      <c r="CF17" s="50">
        <f>SUM(CF5:CF16)</f>
        <v>6486.6858600000005</v>
      </c>
      <c r="CG17" s="45"/>
      <c r="CH17" s="45"/>
      <c r="CI17" s="45"/>
      <c r="CJ17" s="48"/>
      <c r="CK17" s="48"/>
      <c r="CL17" s="48"/>
      <c r="CM17" s="48"/>
      <c r="CN17" s="49"/>
      <c r="CO17" s="50">
        <f>SUM(CO5:CO16)</f>
        <v>5666.7726639999992</v>
      </c>
      <c r="CP17" s="45"/>
      <c r="CQ17" s="45"/>
      <c r="CR17" s="45"/>
      <c r="CS17" s="48"/>
      <c r="CT17" s="48"/>
      <c r="CU17" s="48"/>
      <c r="CV17" s="48"/>
      <c r="CW17" s="49"/>
      <c r="CX17" s="50">
        <f>SUM(CX5:CX16)</f>
        <v>6174.4373200000009</v>
      </c>
      <c r="CY17" s="45"/>
      <c r="CZ17" s="45"/>
      <c r="DA17" s="45"/>
      <c r="DB17" s="48"/>
      <c r="DC17" s="48"/>
      <c r="DD17" s="48"/>
      <c r="DE17" s="48"/>
      <c r="DF17" s="49"/>
      <c r="DG17" s="50">
        <f>SUM(DG5:DG16)</f>
        <v>6742.7916239999995</v>
      </c>
      <c r="DH17" s="47">
        <f>L17+U17+AD17+AM17+AV17+BE17+BN17+BW17+CF17+CO17+CX17+DG17</f>
        <v>79954.584342000002</v>
      </c>
      <c r="DI17" s="47">
        <f>L17+U17+AD17</f>
        <v>15467.9406</v>
      </c>
      <c r="DJ17" s="47">
        <f>AM17+AV17+BE17</f>
        <v>23985.357810000005</v>
      </c>
      <c r="DK17" s="47">
        <f>BN17+BW17+CF17</f>
        <v>21917.284324</v>
      </c>
      <c r="DL17" s="47">
        <f>CO17+CX17+DG17</f>
        <v>18584.001607999999</v>
      </c>
    </row>
    <row r="18" spans="1:116" s="34" customFormat="1">
      <c r="A18" s="257" t="s">
        <v>235</v>
      </c>
      <c r="B18" s="257"/>
      <c r="C18" s="257"/>
      <c r="D18" s="45"/>
      <c r="E18" s="45"/>
      <c r="F18" s="45"/>
      <c r="G18" s="45"/>
      <c r="H18" s="45"/>
      <c r="I18" s="45"/>
      <c r="J18" s="45"/>
      <c r="K18" s="46"/>
      <c r="L18" s="47">
        <f>L17*1000/'[2]Production, Raw Mat'!C$3</f>
        <v>516.70856741843409</v>
      </c>
      <c r="M18" s="45"/>
      <c r="N18" s="45"/>
      <c r="O18" s="45"/>
      <c r="P18" s="45"/>
      <c r="Q18" s="45"/>
      <c r="R18" s="45"/>
      <c r="S18" s="45"/>
      <c r="T18" s="46"/>
      <c r="U18" s="47">
        <f>U17/'Production, Raw Mat'!D5*1000</f>
        <v>435.13300526710645</v>
      </c>
      <c r="V18" s="45"/>
      <c r="W18" s="45"/>
      <c r="X18" s="45"/>
      <c r="Y18" s="45"/>
      <c r="Z18" s="45"/>
      <c r="AA18" s="45"/>
      <c r="AB18" s="45"/>
      <c r="AC18" s="46"/>
      <c r="AD18" s="47">
        <f>AD17/'Production, Raw Mat'!E5*1000</f>
        <v>437.41578109167716</v>
      </c>
      <c r="AE18" s="45"/>
      <c r="AF18" s="45"/>
      <c r="AG18" s="45"/>
      <c r="AH18" s="45"/>
      <c r="AI18" s="45"/>
      <c r="AJ18" s="45"/>
      <c r="AK18" s="45"/>
      <c r="AL18" s="46"/>
      <c r="AM18" s="47">
        <f>AM17/'Production, Raw Mat'!F5*1000</f>
        <v>516.71986090530675</v>
      </c>
      <c r="AN18" s="45"/>
      <c r="AO18" s="45"/>
      <c r="AP18" s="45"/>
      <c r="AQ18" s="45"/>
      <c r="AR18" s="45"/>
      <c r="AS18" s="45"/>
      <c r="AT18" s="45"/>
      <c r="AU18" s="46"/>
      <c r="AV18" s="47">
        <f>AV17/'Production, Raw Mat'!G5*1000</f>
        <v>521.51071177157417</v>
      </c>
      <c r="AW18" s="45"/>
      <c r="AX18" s="45"/>
      <c r="AY18" s="45"/>
      <c r="AZ18" s="45"/>
      <c r="BA18" s="45"/>
      <c r="BB18" s="45"/>
      <c r="BC18" s="45"/>
      <c r="BD18" s="46"/>
      <c r="BE18" s="79">
        <f>BE17/'Production, Raw Mat'!H5*1000</f>
        <v>452.91803929776489</v>
      </c>
      <c r="BF18" s="45"/>
      <c r="BG18" s="45"/>
      <c r="BH18" s="45"/>
      <c r="BI18" s="45"/>
      <c r="BJ18" s="45"/>
      <c r="BK18" s="45"/>
      <c r="BL18" s="45"/>
      <c r="BM18" s="46"/>
      <c r="BN18" s="47">
        <f>BN17/'Production, Raw Mat'!I5*1000</f>
        <v>444.27402589979545</v>
      </c>
      <c r="BO18" s="45"/>
      <c r="BP18" s="45"/>
      <c r="BQ18" s="45"/>
      <c r="BR18" s="45"/>
      <c r="BS18" s="45"/>
      <c r="BT18" s="45"/>
      <c r="BU18" s="45"/>
      <c r="BV18" s="46"/>
      <c r="BW18" s="47">
        <f>BW17/'Production, Raw Mat'!J5*1000</f>
        <v>446.97076640946335</v>
      </c>
      <c r="BX18" s="45"/>
      <c r="BY18" s="45"/>
      <c r="BZ18" s="45"/>
      <c r="CA18" s="45"/>
      <c r="CB18" s="45"/>
      <c r="CC18" s="45"/>
      <c r="CD18" s="45"/>
      <c r="CE18" s="46"/>
      <c r="CF18" s="47">
        <f>CF17/'Production, Raw Mat'!K5*1000</f>
        <v>534.46600773428111</v>
      </c>
      <c r="CG18" s="45"/>
      <c r="CH18" s="45"/>
      <c r="CI18" s="45"/>
      <c r="CJ18" s="45"/>
      <c r="CK18" s="45"/>
      <c r="CL18" s="45"/>
      <c r="CM18" s="45"/>
      <c r="CN18" s="46"/>
      <c r="CO18" s="47">
        <f>CO17/'Production, Raw Mat'!L5*1000</f>
        <v>454.62052549954791</v>
      </c>
      <c r="CP18" s="45"/>
      <c r="CQ18" s="45"/>
      <c r="CR18" s="45"/>
      <c r="CS18" s="45"/>
      <c r="CT18" s="45"/>
      <c r="CU18" s="45"/>
      <c r="CV18" s="45"/>
      <c r="CW18" s="46"/>
      <c r="CX18" s="47">
        <f>Emission!CX17/'Production, Raw Mat'!M3*1000</f>
        <v>501.00327807309941</v>
      </c>
      <c r="CY18" s="45"/>
      <c r="CZ18" s="45"/>
      <c r="DA18" s="45"/>
      <c r="DB18" s="45"/>
      <c r="DC18" s="45"/>
      <c r="DD18" s="45"/>
      <c r="DE18" s="45"/>
      <c r="DF18" s="46"/>
      <c r="DG18" s="47">
        <f>DG17/'Production, Raw Mat'!N5*1000</f>
        <v>421.32082569594309</v>
      </c>
      <c r="DH18" s="47">
        <f>DH17*1000/'[2]Production, Raw Mat'!O$5</f>
        <v>8319.9956734340758</v>
      </c>
      <c r="DI18" s="47">
        <f>DI17*1000/'[2]Production, Raw Mat'!P$5</f>
        <v>1609.5787368296399</v>
      </c>
      <c r="DJ18" s="47" t="e">
        <f>DJ17*1000/'[2]Production, Raw Mat'!Q$5</f>
        <v>#DIV/0!</v>
      </c>
      <c r="DK18" s="47" t="e">
        <f>DK17*1000/'[2]Production, Raw Mat'!R$5</f>
        <v>#DIV/0!</v>
      </c>
      <c r="DL18" s="47" t="e">
        <f>DL17*1000/'[2]Production, Raw Mat'!S$5</f>
        <v>#DIV/0!</v>
      </c>
    </row>
    <row r="20" spans="1:116" s="36" customFormat="1" ht="14.25">
      <c r="A20" s="251" t="s">
        <v>272</v>
      </c>
      <c r="B20" s="251"/>
      <c r="C20" s="251"/>
      <c r="D20" s="251" t="s">
        <v>153</v>
      </c>
      <c r="E20" s="251"/>
      <c r="F20" s="251"/>
      <c r="G20" s="251"/>
      <c r="H20" s="251"/>
      <c r="I20" s="251"/>
      <c r="J20" s="251"/>
      <c r="K20" s="251"/>
      <c r="L20" s="251"/>
      <c r="M20" s="251" t="s">
        <v>154</v>
      </c>
      <c r="N20" s="251"/>
      <c r="O20" s="251"/>
      <c r="P20" s="251"/>
      <c r="Q20" s="251"/>
      <c r="R20" s="251"/>
      <c r="S20" s="251"/>
      <c r="T20" s="251"/>
      <c r="U20" s="251"/>
      <c r="V20" s="251" t="s">
        <v>155</v>
      </c>
      <c r="W20" s="251"/>
      <c r="X20" s="251"/>
      <c r="Y20" s="251"/>
      <c r="Z20" s="251"/>
      <c r="AA20" s="251"/>
      <c r="AB20" s="251"/>
      <c r="AC20" s="251"/>
      <c r="AD20" s="251"/>
      <c r="AE20" s="251" t="s">
        <v>156</v>
      </c>
      <c r="AF20" s="251"/>
      <c r="AG20" s="251"/>
      <c r="AH20" s="251"/>
      <c r="AI20" s="251"/>
      <c r="AJ20" s="251"/>
      <c r="AK20" s="251"/>
      <c r="AL20" s="251"/>
      <c r="AM20" s="251"/>
      <c r="AN20" s="251" t="s">
        <v>157</v>
      </c>
      <c r="AO20" s="251"/>
      <c r="AP20" s="251"/>
      <c r="AQ20" s="251"/>
      <c r="AR20" s="251"/>
      <c r="AS20" s="251"/>
      <c r="AT20" s="251"/>
      <c r="AU20" s="251"/>
      <c r="AV20" s="251"/>
      <c r="AW20" s="251" t="s">
        <v>158</v>
      </c>
      <c r="AX20" s="251"/>
      <c r="AY20" s="251"/>
      <c r="AZ20" s="251"/>
      <c r="BA20" s="251"/>
      <c r="BB20" s="251"/>
      <c r="BC20" s="251"/>
      <c r="BD20" s="251"/>
      <c r="BE20" s="251"/>
      <c r="BF20" s="251" t="s">
        <v>159</v>
      </c>
      <c r="BG20" s="251"/>
      <c r="BH20" s="251"/>
      <c r="BI20" s="251"/>
      <c r="BJ20" s="251"/>
      <c r="BK20" s="251"/>
      <c r="BL20" s="251"/>
      <c r="BM20" s="251"/>
      <c r="BN20" s="251"/>
      <c r="BO20" s="251" t="s">
        <v>160</v>
      </c>
      <c r="BP20" s="251"/>
      <c r="BQ20" s="251"/>
      <c r="BR20" s="251"/>
      <c r="BS20" s="251"/>
      <c r="BT20" s="251"/>
      <c r="BU20" s="251"/>
      <c r="BV20" s="251"/>
      <c r="BW20" s="251"/>
      <c r="BX20" s="251" t="s">
        <v>161</v>
      </c>
      <c r="BY20" s="251"/>
      <c r="BZ20" s="251"/>
      <c r="CA20" s="251"/>
      <c r="CB20" s="251"/>
      <c r="CC20" s="251"/>
      <c r="CD20" s="251"/>
      <c r="CE20" s="251"/>
      <c r="CF20" s="251"/>
      <c r="CG20" s="251" t="s">
        <v>162</v>
      </c>
      <c r="CH20" s="251"/>
      <c r="CI20" s="251"/>
      <c r="CJ20" s="251"/>
      <c r="CK20" s="251"/>
      <c r="CL20" s="251"/>
      <c r="CM20" s="251"/>
      <c r="CN20" s="251"/>
      <c r="CO20" s="251"/>
      <c r="CP20" s="251" t="s">
        <v>163</v>
      </c>
      <c r="CQ20" s="251"/>
      <c r="CR20" s="251"/>
      <c r="CS20" s="251"/>
      <c r="CT20" s="251"/>
      <c r="CU20" s="251"/>
      <c r="CV20" s="251"/>
      <c r="CW20" s="251"/>
      <c r="CX20" s="251"/>
      <c r="CY20" s="251" t="s">
        <v>164</v>
      </c>
      <c r="CZ20" s="251"/>
      <c r="DA20" s="251"/>
      <c r="DB20" s="251"/>
      <c r="DC20" s="251"/>
      <c r="DD20" s="251"/>
      <c r="DE20" s="251"/>
      <c r="DF20" s="251"/>
      <c r="DG20" s="251"/>
      <c r="DH20" s="252" t="s">
        <v>86</v>
      </c>
      <c r="DI20" s="252" t="s">
        <v>87</v>
      </c>
      <c r="DJ20" s="252" t="s">
        <v>88</v>
      </c>
      <c r="DK20" s="252" t="s">
        <v>89</v>
      </c>
      <c r="DL20" s="252" t="s">
        <v>90</v>
      </c>
    </row>
    <row r="21" spans="1:116" s="40" customFormat="1" ht="45">
      <c r="A21" s="254" t="s">
        <v>145</v>
      </c>
      <c r="B21" s="254" t="s">
        <v>146</v>
      </c>
      <c r="C21" s="209" t="s">
        <v>143</v>
      </c>
      <c r="D21" s="208" t="s">
        <v>147</v>
      </c>
      <c r="E21" s="208" t="s">
        <v>148</v>
      </c>
      <c r="F21" s="208" t="s">
        <v>230</v>
      </c>
      <c r="G21" s="209" t="s">
        <v>134</v>
      </c>
      <c r="H21" s="38" t="s">
        <v>135</v>
      </c>
      <c r="I21" s="208" t="s">
        <v>166</v>
      </c>
      <c r="J21" s="76" t="s">
        <v>167</v>
      </c>
      <c r="K21" s="208" t="s">
        <v>150</v>
      </c>
      <c r="L21" s="38" t="s">
        <v>168</v>
      </c>
      <c r="M21" s="208" t="s">
        <v>147</v>
      </c>
      <c r="N21" s="208" t="s">
        <v>148</v>
      </c>
      <c r="O21" s="208" t="s">
        <v>230</v>
      </c>
      <c r="P21" s="209" t="s">
        <v>134</v>
      </c>
      <c r="Q21" s="38" t="s">
        <v>135</v>
      </c>
      <c r="R21" s="208" t="s">
        <v>166</v>
      </c>
      <c r="S21" s="76" t="s">
        <v>167</v>
      </c>
      <c r="T21" s="208" t="s">
        <v>150</v>
      </c>
      <c r="U21" s="38" t="s">
        <v>168</v>
      </c>
      <c r="V21" s="208" t="s">
        <v>147</v>
      </c>
      <c r="W21" s="208" t="s">
        <v>148</v>
      </c>
      <c r="X21" s="208" t="s">
        <v>230</v>
      </c>
      <c r="Y21" s="209" t="s">
        <v>134</v>
      </c>
      <c r="Z21" s="38" t="s">
        <v>135</v>
      </c>
      <c r="AA21" s="208" t="s">
        <v>166</v>
      </c>
      <c r="AB21" s="76" t="s">
        <v>167</v>
      </c>
      <c r="AC21" s="208" t="s">
        <v>150</v>
      </c>
      <c r="AD21" s="38" t="s">
        <v>168</v>
      </c>
      <c r="AE21" s="208" t="s">
        <v>147</v>
      </c>
      <c r="AF21" s="208" t="s">
        <v>148</v>
      </c>
      <c r="AG21" s="208" t="s">
        <v>230</v>
      </c>
      <c r="AH21" s="209" t="s">
        <v>134</v>
      </c>
      <c r="AI21" s="38" t="s">
        <v>135</v>
      </c>
      <c r="AJ21" s="208" t="s">
        <v>166</v>
      </c>
      <c r="AK21" s="76" t="s">
        <v>167</v>
      </c>
      <c r="AL21" s="208" t="s">
        <v>150</v>
      </c>
      <c r="AM21" s="38" t="s">
        <v>168</v>
      </c>
      <c r="AN21" s="208" t="s">
        <v>147</v>
      </c>
      <c r="AO21" s="208" t="s">
        <v>148</v>
      </c>
      <c r="AP21" s="208" t="s">
        <v>230</v>
      </c>
      <c r="AQ21" s="209" t="s">
        <v>134</v>
      </c>
      <c r="AR21" s="38" t="s">
        <v>135</v>
      </c>
      <c r="AS21" s="208" t="s">
        <v>166</v>
      </c>
      <c r="AT21" s="76" t="s">
        <v>167</v>
      </c>
      <c r="AU21" s="208" t="s">
        <v>150</v>
      </c>
      <c r="AV21" s="38" t="s">
        <v>168</v>
      </c>
      <c r="AW21" s="208" t="s">
        <v>147</v>
      </c>
      <c r="AX21" s="208" t="s">
        <v>148</v>
      </c>
      <c r="AY21" s="208" t="s">
        <v>230</v>
      </c>
      <c r="AZ21" s="209" t="s">
        <v>134</v>
      </c>
      <c r="BA21" s="38" t="s">
        <v>135</v>
      </c>
      <c r="BB21" s="208" t="s">
        <v>166</v>
      </c>
      <c r="BC21" s="76" t="s">
        <v>167</v>
      </c>
      <c r="BD21" s="208" t="s">
        <v>150</v>
      </c>
      <c r="BE21" s="38" t="s">
        <v>168</v>
      </c>
      <c r="BF21" s="208" t="s">
        <v>147</v>
      </c>
      <c r="BG21" s="208" t="s">
        <v>148</v>
      </c>
      <c r="BH21" s="208" t="s">
        <v>230</v>
      </c>
      <c r="BI21" s="209" t="s">
        <v>134</v>
      </c>
      <c r="BJ21" s="38" t="s">
        <v>135</v>
      </c>
      <c r="BK21" s="208" t="s">
        <v>166</v>
      </c>
      <c r="BL21" s="76" t="s">
        <v>167</v>
      </c>
      <c r="BM21" s="208" t="s">
        <v>150</v>
      </c>
      <c r="BN21" s="38" t="s">
        <v>168</v>
      </c>
      <c r="BO21" s="208" t="s">
        <v>147</v>
      </c>
      <c r="BP21" s="208" t="s">
        <v>148</v>
      </c>
      <c r="BQ21" s="208" t="s">
        <v>230</v>
      </c>
      <c r="BR21" s="209" t="s">
        <v>134</v>
      </c>
      <c r="BS21" s="38" t="s">
        <v>135</v>
      </c>
      <c r="BT21" s="208" t="s">
        <v>166</v>
      </c>
      <c r="BU21" s="76" t="s">
        <v>167</v>
      </c>
      <c r="BV21" s="208" t="s">
        <v>150</v>
      </c>
      <c r="BW21" s="38" t="s">
        <v>168</v>
      </c>
      <c r="BX21" s="208" t="s">
        <v>147</v>
      </c>
      <c r="BY21" s="208" t="s">
        <v>148</v>
      </c>
      <c r="BZ21" s="208" t="s">
        <v>230</v>
      </c>
      <c r="CA21" s="209" t="s">
        <v>134</v>
      </c>
      <c r="CB21" s="38" t="s">
        <v>135</v>
      </c>
      <c r="CC21" s="208" t="s">
        <v>166</v>
      </c>
      <c r="CD21" s="76" t="s">
        <v>167</v>
      </c>
      <c r="CE21" s="208" t="s">
        <v>150</v>
      </c>
      <c r="CF21" s="38" t="s">
        <v>168</v>
      </c>
      <c r="CG21" s="208" t="s">
        <v>147</v>
      </c>
      <c r="CH21" s="208" t="s">
        <v>148</v>
      </c>
      <c r="CI21" s="208" t="s">
        <v>230</v>
      </c>
      <c r="CJ21" s="209" t="s">
        <v>134</v>
      </c>
      <c r="CK21" s="38" t="s">
        <v>135</v>
      </c>
      <c r="CL21" s="208" t="s">
        <v>166</v>
      </c>
      <c r="CM21" s="76" t="s">
        <v>167</v>
      </c>
      <c r="CN21" s="208" t="s">
        <v>150</v>
      </c>
      <c r="CO21" s="38" t="s">
        <v>168</v>
      </c>
      <c r="CP21" s="208" t="s">
        <v>147</v>
      </c>
      <c r="CQ21" s="208" t="s">
        <v>148</v>
      </c>
      <c r="CR21" s="208" t="s">
        <v>230</v>
      </c>
      <c r="CS21" s="209" t="s">
        <v>134</v>
      </c>
      <c r="CT21" s="38" t="s">
        <v>135</v>
      </c>
      <c r="CU21" s="208" t="s">
        <v>166</v>
      </c>
      <c r="CV21" s="76" t="s">
        <v>167</v>
      </c>
      <c r="CW21" s="208" t="s">
        <v>150</v>
      </c>
      <c r="CX21" s="38" t="s">
        <v>168</v>
      </c>
      <c r="CY21" s="208" t="s">
        <v>147</v>
      </c>
      <c r="CZ21" s="208" t="s">
        <v>148</v>
      </c>
      <c r="DA21" s="208" t="s">
        <v>230</v>
      </c>
      <c r="DB21" s="209" t="s">
        <v>134</v>
      </c>
      <c r="DC21" s="38" t="s">
        <v>135</v>
      </c>
      <c r="DD21" s="208" t="s">
        <v>166</v>
      </c>
      <c r="DE21" s="76" t="s">
        <v>167</v>
      </c>
      <c r="DF21" s="208" t="s">
        <v>150</v>
      </c>
      <c r="DG21" s="38" t="s">
        <v>168</v>
      </c>
      <c r="DH21" s="253"/>
      <c r="DI21" s="253"/>
      <c r="DJ21" s="253"/>
      <c r="DK21" s="253"/>
      <c r="DL21" s="253"/>
    </row>
    <row r="22" spans="1:116" s="44" customFormat="1" ht="14.25">
      <c r="A22" s="255"/>
      <c r="B22" s="255"/>
      <c r="C22" s="41" t="s">
        <v>138</v>
      </c>
      <c r="D22" s="41" t="s">
        <v>137</v>
      </c>
      <c r="E22" s="42" t="s">
        <v>141</v>
      </c>
      <c r="F22" s="41" t="s">
        <v>127</v>
      </c>
      <c r="G22" s="41" t="s">
        <v>139</v>
      </c>
      <c r="H22" s="43" t="s">
        <v>142</v>
      </c>
      <c r="I22" s="41" t="s">
        <v>144</v>
      </c>
      <c r="J22" s="43" t="s">
        <v>140</v>
      </c>
      <c r="K22" s="41" t="s">
        <v>152</v>
      </c>
      <c r="L22" s="43" t="s">
        <v>102</v>
      </c>
      <c r="M22" s="41" t="s">
        <v>137</v>
      </c>
      <c r="N22" s="42" t="s">
        <v>141</v>
      </c>
      <c r="O22" s="41" t="s">
        <v>127</v>
      </c>
      <c r="P22" s="41" t="s">
        <v>139</v>
      </c>
      <c r="Q22" s="43" t="s">
        <v>142</v>
      </c>
      <c r="R22" s="41" t="s">
        <v>144</v>
      </c>
      <c r="S22" s="43" t="s">
        <v>140</v>
      </c>
      <c r="T22" s="41" t="s">
        <v>152</v>
      </c>
      <c r="U22" s="43" t="s">
        <v>102</v>
      </c>
      <c r="V22" s="41" t="s">
        <v>137</v>
      </c>
      <c r="W22" s="42" t="s">
        <v>141</v>
      </c>
      <c r="X22" s="41" t="s">
        <v>127</v>
      </c>
      <c r="Y22" s="41" t="s">
        <v>139</v>
      </c>
      <c r="Z22" s="43" t="s">
        <v>142</v>
      </c>
      <c r="AA22" s="41" t="s">
        <v>144</v>
      </c>
      <c r="AB22" s="43" t="s">
        <v>140</v>
      </c>
      <c r="AC22" s="41" t="s">
        <v>152</v>
      </c>
      <c r="AD22" s="43" t="s">
        <v>102</v>
      </c>
      <c r="AE22" s="41" t="s">
        <v>137</v>
      </c>
      <c r="AF22" s="42" t="s">
        <v>141</v>
      </c>
      <c r="AG22" s="41" t="s">
        <v>127</v>
      </c>
      <c r="AH22" s="41" t="s">
        <v>139</v>
      </c>
      <c r="AI22" s="43" t="s">
        <v>142</v>
      </c>
      <c r="AJ22" s="41" t="s">
        <v>144</v>
      </c>
      <c r="AK22" s="43" t="s">
        <v>140</v>
      </c>
      <c r="AL22" s="41" t="s">
        <v>152</v>
      </c>
      <c r="AM22" s="43" t="s">
        <v>102</v>
      </c>
      <c r="AN22" s="41" t="s">
        <v>137</v>
      </c>
      <c r="AO22" s="42" t="s">
        <v>141</v>
      </c>
      <c r="AP22" s="41" t="s">
        <v>127</v>
      </c>
      <c r="AQ22" s="41" t="s">
        <v>139</v>
      </c>
      <c r="AR22" s="43" t="s">
        <v>142</v>
      </c>
      <c r="AS22" s="41" t="s">
        <v>144</v>
      </c>
      <c r="AT22" s="43" t="s">
        <v>140</v>
      </c>
      <c r="AU22" s="41" t="s">
        <v>152</v>
      </c>
      <c r="AV22" s="43" t="s">
        <v>102</v>
      </c>
      <c r="AW22" s="41" t="s">
        <v>137</v>
      </c>
      <c r="AX22" s="42" t="s">
        <v>141</v>
      </c>
      <c r="AY22" s="41" t="s">
        <v>127</v>
      </c>
      <c r="AZ22" s="41" t="s">
        <v>139</v>
      </c>
      <c r="BA22" s="43" t="s">
        <v>142</v>
      </c>
      <c r="BB22" s="41" t="s">
        <v>144</v>
      </c>
      <c r="BC22" s="43" t="s">
        <v>140</v>
      </c>
      <c r="BD22" s="41" t="s">
        <v>152</v>
      </c>
      <c r="BE22" s="43" t="s">
        <v>102</v>
      </c>
      <c r="BF22" s="41" t="s">
        <v>137</v>
      </c>
      <c r="BG22" s="42" t="s">
        <v>141</v>
      </c>
      <c r="BH22" s="41" t="s">
        <v>127</v>
      </c>
      <c r="BI22" s="41" t="s">
        <v>139</v>
      </c>
      <c r="BJ22" s="43" t="s">
        <v>142</v>
      </c>
      <c r="BK22" s="41" t="s">
        <v>144</v>
      </c>
      <c r="BL22" s="43" t="s">
        <v>140</v>
      </c>
      <c r="BM22" s="41" t="s">
        <v>152</v>
      </c>
      <c r="BN22" s="43" t="s">
        <v>102</v>
      </c>
      <c r="BO22" s="41" t="s">
        <v>137</v>
      </c>
      <c r="BP22" s="42" t="s">
        <v>141</v>
      </c>
      <c r="BQ22" s="41" t="s">
        <v>127</v>
      </c>
      <c r="BR22" s="41" t="s">
        <v>139</v>
      </c>
      <c r="BS22" s="43" t="s">
        <v>142</v>
      </c>
      <c r="BT22" s="41" t="s">
        <v>144</v>
      </c>
      <c r="BU22" s="43" t="s">
        <v>140</v>
      </c>
      <c r="BV22" s="41" t="s">
        <v>152</v>
      </c>
      <c r="BW22" s="43" t="s">
        <v>102</v>
      </c>
      <c r="BX22" s="41" t="s">
        <v>137</v>
      </c>
      <c r="BY22" s="42" t="s">
        <v>141</v>
      </c>
      <c r="BZ22" s="41" t="s">
        <v>127</v>
      </c>
      <c r="CA22" s="41" t="s">
        <v>139</v>
      </c>
      <c r="CB22" s="43" t="s">
        <v>142</v>
      </c>
      <c r="CC22" s="41" t="s">
        <v>144</v>
      </c>
      <c r="CD22" s="43" t="s">
        <v>140</v>
      </c>
      <c r="CE22" s="41" t="s">
        <v>152</v>
      </c>
      <c r="CF22" s="43" t="s">
        <v>102</v>
      </c>
      <c r="CG22" s="41" t="s">
        <v>137</v>
      </c>
      <c r="CH22" s="42" t="s">
        <v>141</v>
      </c>
      <c r="CI22" s="41" t="s">
        <v>127</v>
      </c>
      <c r="CJ22" s="41" t="s">
        <v>139</v>
      </c>
      <c r="CK22" s="43" t="s">
        <v>142</v>
      </c>
      <c r="CL22" s="41" t="s">
        <v>144</v>
      </c>
      <c r="CM22" s="43" t="s">
        <v>140</v>
      </c>
      <c r="CN22" s="41" t="s">
        <v>152</v>
      </c>
      <c r="CO22" s="43" t="s">
        <v>102</v>
      </c>
      <c r="CP22" s="41" t="s">
        <v>137</v>
      </c>
      <c r="CQ22" s="42" t="s">
        <v>141</v>
      </c>
      <c r="CR22" s="41" t="s">
        <v>127</v>
      </c>
      <c r="CS22" s="41" t="s">
        <v>139</v>
      </c>
      <c r="CT22" s="43" t="s">
        <v>142</v>
      </c>
      <c r="CU22" s="41" t="s">
        <v>144</v>
      </c>
      <c r="CV22" s="43" t="s">
        <v>140</v>
      </c>
      <c r="CW22" s="41" t="s">
        <v>152</v>
      </c>
      <c r="CX22" s="43" t="s">
        <v>102</v>
      </c>
      <c r="CY22" s="41" t="s">
        <v>137</v>
      </c>
      <c r="CZ22" s="42" t="s">
        <v>141</v>
      </c>
      <c r="DA22" s="41" t="s">
        <v>127</v>
      </c>
      <c r="DB22" s="41" t="s">
        <v>139</v>
      </c>
      <c r="DC22" s="43" t="s">
        <v>142</v>
      </c>
      <c r="DD22" s="41" t="s">
        <v>144</v>
      </c>
      <c r="DE22" s="43" t="s">
        <v>140</v>
      </c>
      <c r="DF22" s="41" t="s">
        <v>152</v>
      </c>
      <c r="DG22" s="43" t="s">
        <v>102</v>
      </c>
      <c r="DH22" s="253"/>
      <c r="DI22" s="253"/>
      <c r="DJ22" s="253"/>
      <c r="DK22" s="253"/>
      <c r="DL22" s="253"/>
    </row>
    <row r="23" spans="1:116" s="54" customFormat="1">
      <c r="A23" s="53" t="s">
        <v>279</v>
      </c>
      <c r="B23" s="53"/>
      <c r="C23" s="53">
        <f>130/100</f>
        <v>1.3</v>
      </c>
      <c r="D23" s="214" t="s">
        <v>418</v>
      </c>
      <c r="E23" s="56">
        <v>84.3</v>
      </c>
      <c r="F23" s="56"/>
      <c r="G23" s="184"/>
      <c r="H23" s="184">
        <f>85000/60</f>
        <v>1416.6666666666667</v>
      </c>
      <c r="I23" s="184">
        <v>15.72</v>
      </c>
      <c r="J23" s="86">
        <f t="shared" ref="J23:J34" si="46">H23*(I23)*60/1000000</f>
        <v>1.3362000000000003</v>
      </c>
      <c r="K23" s="187">
        <f>19*24-4</f>
        <v>452</v>
      </c>
      <c r="L23" s="85">
        <f t="shared" ref="L23:L34" si="47">J23*K23</f>
        <v>603.96240000000012</v>
      </c>
      <c r="M23" s="214" t="s">
        <v>418</v>
      </c>
      <c r="N23" s="56">
        <v>84.3</v>
      </c>
      <c r="O23" s="56"/>
      <c r="P23" s="184"/>
      <c r="Q23" s="184">
        <f>85000/60</f>
        <v>1416.6666666666667</v>
      </c>
      <c r="R23" s="184">
        <v>15.72</v>
      </c>
      <c r="S23" s="86">
        <f t="shared" ref="S23:S34" si="48">Q23*(R23)*60/1000000</f>
        <v>1.3362000000000003</v>
      </c>
      <c r="T23" s="187">
        <v>0</v>
      </c>
      <c r="U23" s="85">
        <f t="shared" ref="U23:U34" si="49">S23*T23</f>
        <v>0</v>
      </c>
      <c r="V23" s="214" t="s">
        <v>418</v>
      </c>
      <c r="W23" s="56">
        <v>84.3</v>
      </c>
      <c r="X23" s="56"/>
      <c r="Y23" s="184"/>
      <c r="Z23" s="184">
        <f>85000/60</f>
        <v>1416.6666666666667</v>
      </c>
      <c r="AA23" s="184">
        <v>15.72</v>
      </c>
      <c r="AB23" s="86">
        <f t="shared" ref="AB23:AB34" si="50">Z23*(AA23)*60/1000000</f>
        <v>1.3362000000000003</v>
      </c>
      <c r="AC23" s="187">
        <f>27*24-55</f>
        <v>593</v>
      </c>
      <c r="AD23" s="85">
        <f t="shared" ref="AD23:AD34" si="51">AB23*AC23</f>
        <v>792.36660000000018</v>
      </c>
      <c r="AE23" s="214" t="s">
        <v>420</v>
      </c>
      <c r="AF23" s="53">
        <v>82.3</v>
      </c>
      <c r="AG23" s="53"/>
      <c r="AH23" s="85"/>
      <c r="AI23" s="184">
        <f>85000/60</f>
        <v>1416.6666666666667</v>
      </c>
      <c r="AJ23" s="184">
        <v>18</v>
      </c>
      <c r="AK23" s="86">
        <f t="shared" ref="AK23:AK34" si="52">AI23*(AJ23)*60/1000000</f>
        <v>1.53</v>
      </c>
      <c r="AL23" s="187">
        <f>30*24-49</f>
        <v>671</v>
      </c>
      <c r="AM23" s="85">
        <f>AK23*AL23</f>
        <v>1026.6300000000001</v>
      </c>
      <c r="AN23" s="214" t="s">
        <v>420</v>
      </c>
      <c r="AO23" s="53">
        <v>82.3</v>
      </c>
      <c r="AP23" s="53"/>
      <c r="AQ23" s="85"/>
      <c r="AR23" s="184">
        <f>85000/60</f>
        <v>1416.6666666666667</v>
      </c>
      <c r="AS23" s="184">
        <v>18</v>
      </c>
      <c r="AT23" s="86">
        <f t="shared" ref="AT23:AT34" si="53">AR23*(AS23)*60/1000000</f>
        <v>1.53</v>
      </c>
      <c r="AU23" s="52">
        <f>31*24-55</f>
        <v>689</v>
      </c>
      <c r="AV23" s="85">
        <f>AT23*AU23</f>
        <v>1054.17</v>
      </c>
      <c r="AW23" s="214" t="s">
        <v>422</v>
      </c>
      <c r="AX23" s="53">
        <v>95.5</v>
      </c>
      <c r="AY23" s="53"/>
      <c r="AZ23" s="85"/>
      <c r="BA23" s="184">
        <f>85000/60</f>
        <v>1416.6666666666667</v>
      </c>
      <c r="BB23" s="184">
        <v>92.2</v>
      </c>
      <c r="BC23" s="86">
        <f t="shared" ref="BC23:BC34" si="54">BA23*(BB23)*60/1000000</f>
        <v>7.8369999999999997</v>
      </c>
      <c r="BD23" s="187">
        <f>30*24-47</f>
        <v>673</v>
      </c>
      <c r="BE23" s="85">
        <f>BC23*BD23</f>
        <v>5274.3009999999995</v>
      </c>
      <c r="BF23" s="214" t="s">
        <v>422</v>
      </c>
      <c r="BG23" s="53">
        <v>95.5</v>
      </c>
      <c r="BH23" s="53"/>
      <c r="BI23" s="85"/>
      <c r="BJ23" s="184">
        <f>85000/60</f>
        <v>1416.6666666666667</v>
      </c>
      <c r="BK23" s="184">
        <v>92.2</v>
      </c>
      <c r="BL23" s="86">
        <f t="shared" ref="BL23:BL34" si="55">BJ23*(BK23)*60/1000000</f>
        <v>7.8369999999999997</v>
      </c>
      <c r="BM23" s="52">
        <f>31*24-30</f>
        <v>714</v>
      </c>
      <c r="BN23" s="85">
        <f>BL23*BM23</f>
        <v>5595.6179999999995</v>
      </c>
      <c r="BO23" s="214" t="s">
        <v>422</v>
      </c>
      <c r="BP23" s="53">
        <v>95.5</v>
      </c>
      <c r="BQ23" s="53"/>
      <c r="BR23" s="85"/>
      <c r="BS23" s="184">
        <f>85000/60</f>
        <v>1416.6666666666667</v>
      </c>
      <c r="BT23" s="184">
        <v>92.2</v>
      </c>
      <c r="BU23" s="86">
        <f t="shared" ref="BU23:BU33" si="56">BS23*(BT23)*60/1000000</f>
        <v>7.8369999999999997</v>
      </c>
      <c r="BV23" s="189">
        <f>31*24-107</f>
        <v>637</v>
      </c>
      <c r="BW23" s="85">
        <f>BU23*BV23</f>
        <v>4992.1689999999999</v>
      </c>
      <c r="BX23" s="214" t="s">
        <v>422</v>
      </c>
      <c r="BY23" s="53">
        <v>95.5</v>
      </c>
      <c r="BZ23" s="53"/>
      <c r="CA23" s="85"/>
      <c r="CB23" s="184">
        <f>85000/60</f>
        <v>1416.6666666666667</v>
      </c>
      <c r="CC23" s="184">
        <v>92.2</v>
      </c>
      <c r="CD23" s="86">
        <f t="shared" ref="CD23:CD31" si="57">CB23*(CC23)*60/1000000</f>
        <v>7.8369999999999997</v>
      </c>
      <c r="CE23" s="52">
        <f>30*24-254</f>
        <v>466</v>
      </c>
      <c r="CF23" s="85">
        <f>CD23*CE23</f>
        <v>3652.0419999999999</v>
      </c>
      <c r="CG23" s="191" t="s">
        <v>423</v>
      </c>
      <c r="CH23" s="56">
        <v>96.2</v>
      </c>
      <c r="CI23" s="56"/>
      <c r="CJ23" s="184"/>
      <c r="CK23" s="184">
        <f>85000/60</f>
        <v>1416.6666666666667</v>
      </c>
      <c r="CL23" s="184">
        <v>94.2</v>
      </c>
      <c r="CM23" s="86">
        <f t="shared" ref="CM23:CM34" si="58">CK23*(CL23)*60/1000000</f>
        <v>8.0069999999999997</v>
      </c>
      <c r="CN23" s="52">
        <f>31*24-64</f>
        <v>680</v>
      </c>
      <c r="CO23" s="85">
        <f>CM23*CN23</f>
        <v>5444.76</v>
      </c>
      <c r="CP23" s="191" t="s">
        <v>423</v>
      </c>
      <c r="CQ23" s="56">
        <v>96.2</v>
      </c>
      <c r="CR23" s="56"/>
      <c r="CS23" s="184"/>
      <c r="CT23" s="184">
        <f>85000/60</f>
        <v>1416.6666666666667</v>
      </c>
      <c r="CU23" s="184">
        <v>94.2</v>
      </c>
      <c r="CV23" s="86">
        <f t="shared" ref="CV23:CV34" si="59">CT23*(CU23)*60/1000000</f>
        <v>8.0069999999999997</v>
      </c>
      <c r="CW23" s="52">
        <f>31*24-61</f>
        <v>683</v>
      </c>
      <c r="CX23" s="85">
        <f>CV23*CW23</f>
        <v>5468.7809999999999</v>
      </c>
      <c r="CY23" s="191" t="s">
        <v>423</v>
      </c>
      <c r="CZ23" s="56">
        <v>96.2</v>
      </c>
      <c r="DA23" s="56"/>
      <c r="DB23" s="184"/>
      <c r="DC23" s="184">
        <f>85000/60</f>
        <v>1416.6666666666667</v>
      </c>
      <c r="DD23" s="184">
        <v>94.2</v>
      </c>
      <c r="DE23" s="86">
        <f t="shared" ref="DE23:DE34" si="60">DC23*(DD23)*60/1000000</f>
        <v>8.0069999999999997</v>
      </c>
      <c r="DF23" s="52">
        <f>31*24-84</f>
        <v>660</v>
      </c>
      <c r="DG23" s="85">
        <f>DE23*DF23</f>
        <v>5284.62</v>
      </c>
      <c r="DH23" s="253"/>
      <c r="DI23" s="253"/>
      <c r="DJ23" s="253"/>
      <c r="DK23" s="253"/>
      <c r="DL23" s="253"/>
    </row>
    <row r="24" spans="1:116" ht="12" customHeight="1">
      <c r="A24" s="31" t="s">
        <v>280</v>
      </c>
      <c r="B24" s="31"/>
      <c r="C24" s="53">
        <f>130/100</f>
        <v>1.3</v>
      </c>
      <c r="D24" s="214" t="s">
        <v>418</v>
      </c>
      <c r="E24" s="56">
        <v>87.1</v>
      </c>
      <c r="F24" s="56"/>
      <c r="G24" s="184"/>
      <c r="H24" s="186">
        <f>85000/60</f>
        <v>1416.6666666666667</v>
      </c>
      <c r="I24" s="186">
        <v>18.34</v>
      </c>
      <c r="J24" s="86">
        <f t="shared" si="46"/>
        <v>1.5589</v>
      </c>
      <c r="K24" s="189">
        <f>19*24-56</f>
        <v>400</v>
      </c>
      <c r="L24" s="85">
        <f t="shared" si="47"/>
        <v>623.55999999999995</v>
      </c>
      <c r="M24" s="214" t="s">
        <v>418</v>
      </c>
      <c r="N24" s="56">
        <v>87.1</v>
      </c>
      <c r="O24" s="56"/>
      <c r="P24" s="184"/>
      <c r="Q24" s="186">
        <f>85000/60</f>
        <v>1416.6666666666667</v>
      </c>
      <c r="R24" s="186">
        <v>18.34</v>
      </c>
      <c r="S24" s="86">
        <f t="shared" si="48"/>
        <v>1.5589</v>
      </c>
      <c r="T24" s="190">
        <v>424</v>
      </c>
      <c r="U24" s="85">
        <f t="shared" si="49"/>
        <v>660.97360000000003</v>
      </c>
      <c r="V24" s="214" t="s">
        <v>418</v>
      </c>
      <c r="W24" s="56">
        <v>87.1</v>
      </c>
      <c r="X24" s="56"/>
      <c r="Y24" s="184"/>
      <c r="Z24" s="186">
        <f>85000/60</f>
        <v>1416.6666666666667</v>
      </c>
      <c r="AA24" s="186">
        <v>18.34</v>
      </c>
      <c r="AB24" s="86">
        <f t="shared" si="50"/>
        <v>1.5589</v>
      </c>
      <c r="AC24" s="190">
        <f>31*24-90</f>
        <v>654</v>
      </c>
      <c r="AD24" s="85">
        <f t="shared" si="51"/>
        <v>1019.5205999999999</v>
      </c>
      <c r="AE24" s="214" t="s">
        <v>420</v>
      </c>
      <c r="AF24" s="53">
        <v>71.900000000000006</v>
      </c>
      <c r="AG24" s="53"/>
      <c r="AH24" s="85"/>
      <c r="AI24" s="186">
        <f>85000/60</f>
        <v>1416.6666666666667</v>
      </c>
      <c r="AJ24" s="186">
        <v>16.2</v>
      </c>
      <c r="AK24" s="86">
        <f t="shared" si="52"/>
        <v>1.377</v>
      </c>
      <c r="AL24" s="187">
        <f>30*24-245</f>
        <v>475</v>
      </c>
      <c r="AM24" s="86">
        <f t="shared" ref="AM24:AM34" si="61">AK24*AL24</f>
        <v>654.07500000000005</v>
      </c>
      <c r="AN24" s="214" t="s">
        <v>420</v>
      </c>
      <c r="AO24" s="53">
        <v>71.900000000000006</v>
      </c>
      <c r="AP24" s="53"/>
      <c r="AQ24" s="85"/>
      <c r="AR24" s="186">
        <f>85000/60</f>
        <v>1416.6666666666667</v>
      </c>
      <c r="AS24" s="186">
        <v>16.2</v>
      </c>
      <c r="AT24" s="86">
        <f t="shared" si="53"/>
        <v>1.377</v>
      </c>
      <c r="AU24" s="31">
        <f>31*24-244.3</f>
        <v>499.7</v>
      </c>
      <c r="AV24" s="86">
        <f t="shared" ref="AV24:AV34" si="62">AT24*AU24</f>
        <v>688.08690000000001</v>
      </c>
      <c r="AW24" s="214" t="s">
        <v>422</v>
      </c>
      <c r="AX24" s="53">
        <v>94.1</v>
      </c>
      <c r="AY24" s="53"/>
      <c r="AZ24" s="85"/>
      <c r="BA24" s="186">
        <f>85000/60</f>
        <v>1416.6666666666667</v>
      </c>
      <c r="BB24" s="186">
        <v>93.6</v>
      </c>
      <c r="BC24" s="86">
        <f t="shared" si="54"/>
        <v>7.9560000000000004</v>
      </c>
      <c r="BD24" s="190">
        <f>30*24-206.4</f>
        <v>513.6</v>
      </c>
      <c r="BE24" s="86">
        <f t="shared" ref="BE24:BE34" si="63">BC24*BD24</f>
        <v>4086.2016000000003</v>
      </c>
      <c r="BF24" s="214" t="s">
        <v>422</v>
      </c>
      <c r="BG24" s="53">
        <v>94.1</v>
      </c>
      <c r="BH24" s="53"/>
      <c r="BI24" s="85"/>
      <c r="BJ24" s="186">
        <f>85000/60</f>
        <v>1416.6666666666667</v>
      </c>
      <c r="BK24" s="186">
        <v>93.6</v>
      </c>
      <c r="BL24" s="86">
        <f t="shared" si="55"/>
        <v>7.9560000000000004</v>
      </c>
      <c r="BM24" s="52">
        <f>31*24-133</f>
        <v>611</v>
      </c>
      <c r="BN24" s="86">
        <f t="shared" ref="BN24:BN34" si="64">BL24*BM24</f>
        <v>4861.116</v>
      </c>
      <c r="BO24" s="214" t="s">
        <v>422</v>
      </c>
      <c r="BP24" s="53">
        <v>94.1</v>
      </c>
      <c r="BQ24" s="53"/>
      <c r="BR24" s="85"/>
      <c r="BS24" s="186">
        <f>85000/60</f>
        <v>1416.6666666666667</v>
      </c>
      <c r="BT24" s="186">
        <v>93.6</v>
      </c>
      <c r="BU24" s="86">
        <f t="shared" si="56"/>
        <v>7.9560000000000004</v>
      </c>
      <c r="BV24" s="190">
        <f>31*24-213</f>
        <v>531</v>
      </c>
      <c r="BW24" s="86">
        <f t="shared" ref="BW24:BW34" si="65">BU24*BV24</f>
        <v>4224.6360000000004</v>
      </c>
      <c r="BX24" s="214" t="s">
        <v>422</v>
      </c>
      <c r="BY24" s="53">
        <v>94.1</v>
      </c>
      <c r="BZ24" s="53"/>
      <c r="CA24" s="85"/>
      <c r="CB24" s="186">
        <f>85000/60</f>
        <v>1416.6666666666667</v>
      </c>
      <c r="CC24" s="186">
        <v>93.6</v>
      </c>
      <c r="CD24" s="86">
        <f t="shared" si="57"/>
        <v>7.9560000000000004</v>
      </c>
      <c r="CE24" s="52">
        <f>30*24-99</f>
        <v>621</v>
      </c>
      <c r="CF24" s="86">
        <f t="shared" ref="CF24:CF34" si="66">CD24*CE24</f>
        <v>4940.6760000000004</v>
      </c>
      <c r="CG24" s="191" t="s">
        <v>423</v>
      </c>
      <c r="CH24" s="56">
        <v>95.1</v>
      </c>
      <c r="CI24" s="56"/>
      <c r="CJ24" s="184"/>
      <c r="CK24" s="186">
        <f>85000/60</f>
        <v>1416.6666666666667</v>
      </c>
      <c r="CL24" s="186">
        <v>94.7</v>
      </c>
      <c r="CM24" s="86">
        <f t="shared" si="58"/>
        <v>8.0495000000000001</v>
      </c>
      <c r="CN24" s="31">
        <f>31*24-544</f>
        <v>200</v>
      </c>
      <c r="CO24" s="86">
        <f t="shared" ref="CO24:CO34" si="67">CM24*CN24</f>
        <v>1609.9</v>
      </c>
      <c r="CP24" s="191" t="s">
        <v>423</v>
      </c>
      <c r="CQ24" s="56">
        <v>95.1</v>
      </c>
      <c r="CR24" s="56"/>
      <c r="CS24" s="184"/>
      <c r="CT24" s="186">
        <f>85000/60</f>
        <v>1416.6666666666667</v>
      </c>
      <c r="CU24" s="186">
        <v>94.7</v>
      </c>
      <c r="CV24" s="86">
        <f t="shared" si="59"/>
        <v>8.0495000000000001</v>
      </c>
      <c r="CW24" s="52">
        <f>30*24-360</f>
        <v>360</v>
      </c>
      <c r="CX24" s="86">
        <f t="shared" ref="CX24:CX34" si="68">CV24*CW24</f>
        <v>2897.82</v>
      </c>
      <c r="CY24" s="191" t="s">
        <v>423</v>
      </c>
      <c r="CZ24" s="56">
        <v>95.1</v>
      </c>
      <c r="DA24" s="56"/>
      <c r="DB24" s="184"/>
      <c r="DC24" s="186">
        <f>85000/60</f>
        <v>1416.6666666666667</v>
      </c>
      <c r="DD24" s="186">
        <v>94.7</v>
      </c>
      <c r="DE24" s="86">
        <f t="shared" si="60"/>
        <v>8.0495000000000001</v>
      </c>
      <c r="DF24" s="52">
        <f>31*24-308</f>
        <v>436</v>
      </c>
      <c r="DG24" s="86">
        <f t="shared" ref="DG24:DG34" si="69">DE24*DF24</f>
        <v>3509.5819999999999</v>
      </c>
      <c r="DH24" s="253"/>
      <c r="DI24" s="253"/>
      <c r="DJ24" s="253"/>
      <c r="DK24" s="253"/>
      <c r="DL24" s="253"/>
    </row>
    <row r="25" spans="1:116">
      <c r="A25" s="53" t="s">
        <v>281</v>
      </c>
      <c r="B25" s="31"/>
      <c r="C25" s="53">
        <v>0.8</v>
      </c>
      <c r="D25" s="214" t="s">
        <v>418</v>
      </c>
      <c r="E25" s="56">
        <v>153.19999999999999</v>
      </c>
      <c r="F25" s="56"/>
      <c r="G25" s="184"/>
      <c r="H25" s="186">
        <f>10400/60</f>
        <v>173.33333333333334</v>
      </c>
      <c r="I25" s="190">
        <v>83.84</v>
      </c>
      <c r="J25" s="86">
        <f t="shared" si="46"/>
        <v>0.87193600000000016</v>
      </c>
      <c r="K25" s="189">
        <f>16*24</f>
        <v>384</v>
      </c>
      <c r="L25" s="85">
        <f t="shared" si="47"/>
        <v>334.82342400000005</v>
      </c>
      <c r="M25" s="214" t="s">
        <v>418</v>
      </c>
      <c r="N25" s="56">
        <v>153.19999999999999</v>
      </c>
      <c r="O25" s="56"/>
      <c r="P25" s="184"/>
      <c r="Q25" s="186">
        <f>10400/60</f>
        <v>173.33333333333334</v>
      </c>
      <c r="R25" s="190">
        <v>83.84</v>
      </c>
      <c r="S25" s="86">
        <f t="shared" si="48"/>
        <v>0.87193600000000016</v>
      </c>
      <c r="T25" s="187">
        <f>13*24+16</f>
        <v>328</v>
      </c>
      <c r="U25" s="85">
        <f t="shared" si="49"/>
        <v>285.99500800000004</v>
      </c>
      <c r="V25" s="214" t="s">
        <v>418</v>
      </c>
      <c r="W25" s="56">
        <v>153.19999999999999</v>
      </c>
      <c r="X25" s="56"/>
      <c r="Y25" s="184"/>
      <c r="Z25" s="186">
        <f>10400/60</f>
        <v>173.33333333333334</v>
      </c>
      <c r="AA25" s="190">
        <v>83.84</v>
      </c>
      <c r="AB25" s="86">
        <f t="shared" si="50"/>
        <v>0.87193600000000016</v>
      </c>
      <c r="AC25" s="190">
        <f>31*24</f>
        <v>744</v>
      </c>
      <c r="AD25" s="85">
        <f t="shared" si="51"/>
        <v>648.72038400000008</v>
      </c>
      <c r="AE25" s="214" t="s">
        <v>420</v>
      </c>
      <c r="AF25" s="53">
        <v>130</v>
      </c>
      <c r="AG25" s="53"/>
      <c r="AH25" s="85"/>
      <c r="AI25" s="186">
        <f>10900/60</f>
        <v>181.66666666666666</v>
      </c>
      <c r="AJ25" s="190">
        <v>89.1</v>
      </c>
      <c r="AK25" s="86">
        <f t="shared" si="52"/>
        <v>0.97118999999999989</v>
      </c>
      <c r="AL25" s="187">
        <f>30*24</f>
        <v>720</v>
      </c>
      <c r="AM25" s="86">
        <f t="shared" si="61"/>
        <v>699.25679999999988</v>
      </c>
      <c r="AN25" s="214" t="s">
        <v>420</v>
      </c>
      <c r="AO25" s="53">
        <v>130</v>
      </c>
      <c r="AP25" s="53"/>
      <c r="AQ25" s="85"/>
      <c r="AR25" s="186">
        <f>10900/60</f>
        <v>181.66666666666666</v>
      </c>
      <c r="AS25" s="190">
        <v>89.1</v>
      </c>
      <c r="AT25" s="86">
        <f t="shared" si="53"/>
        <v>0.97118999999999989</v>
      </c>
      <c r="AU25" s="31">
        <f>31*24</f>
        <v>744</v>
      </c>
      <c r="AV25" s="86">
        <f t="shared" si="62"/>
        <v>722.56535999999994</v>
      </c>
      <c r="AW25" s="214" t="s">
        <v>422</v>
      </c>
      <c r="AX25" s="53">
        <v>119.3</v>
      </c>
      <c r="AY25" s="53"/>
      <c r="AZ25" s="85"/>
      <c r="BA25" s="186">
        <f>10900/60</f>
        <v>181.66666666666666</v>
      </c>
      <c r="BB25" s="190">
        <v>91.7</v>
      </c>
      <c r="BC25" s="86">
        <f t="shared" si="54"/>
        <v>0.99952999999999992</v>
      </c>
      <c r="BD25" s="190">
        <f>30*24</f>
        <v>720</v>
      </c>
      <c r="BE25" s="86">
        <f t="shared" si="63"/>
        <v>719.66159999999991</v>
      </c>
      <c r="BF25" s="214" t="s">
        <v>422</v>
      </c>
      <c r="BG25" s="53">
        <v>119.3</v>
      </c>
      <c r="BH25" s="53"/>
      <c r="BI25" s="85"/>
      <c r="BJ25" s="186">
        <f>10900/60</f>
        <v>181.66666666666666</v>
      </c>
      <c r="BK25" s="190">
        <v>91.7</v>
      </c>
      <c r="BL25" s="86">
        <f t="shared" si="55"/>
        <v>0.99952999999999992</v>
      </c>
      <c r="BM25" s="52">
        <f>31*24</f>
        <v>744</v>
      </c>
      <c r="BN25" s="86">
        <f t="shared" si="64"/>
        <v>743.65031999999997</v>
      </c>
      <c r="BO25" s="214" t="s">
        <v>422</v>
      </c>
      <c r="BP25" s="53">
        <v>119.3</v>
      </c>
      <c r="BQ25" s="53"/>
      <c r="BR25" s="85"/>
      <c r="BS25" s="186">
        <f>10900/60</f>
        <v>181.66666666666666</v>
      </c>
      <c r="BT25" s="190">
        <v>91.7</v>
      </c>
      <c r="BU25" s="86">
        <f t="shared" si="56"/>
        <v>0.99952999999999992</v>
      </c>
      <c r="BV25" s="190">
        <f>31*24</f>
        <v>744</v>
      </c>
      <c r="BW25" s="86">
        <f t="shared" si="65"/>
        <v>743.65031999999997</v>
      </c>
      <c r="BX25" s="214" t="s">
        <v>422</v>
      </c>
      <c r="BY25" s="53">
        <v>119.3</v>
      </c>
      <c r="BZ25" s="53"/>
      <c r="CA25" s="85"/>
      <c r="CB25" s="186">
        <f>10900/60</f>
        <v>181.66666666666666</v>
      </c>
      <c r="CC25" s="190">
        <v>91.7</v>
      </c>
      <c r="CD25" s="86">
        <f t="shared" si="57"/>
        <v>0.99952999999999992</v>
      </c>
      <c r="CE25" s="52">
        <f>30*24</f>
        <v>720</v>
      </c>
      <c r="CF25" s="86">
        <f t="shared" si="66"/>
        <v>719.66159999999991</v>
      </c>
      <c r="CG25" s="191" t="s">
        <v>423</v>
      </c>
      <c r="CH25" s="56">
        <v>121.5</v>
      </c>
      <c r="CI25" s="56"/>
      <c r="CJ25" s="184"/>
      <c r="CK25" s="186">
        <f>9240/60</f>
        <v>154</v>
      </c>
      <c r="CL25" s="190">
        <v>92.4</v>
      </c>
      <c r="CM25" s="86">
        <f t="shared" si="58"/>
        <v>0.85377599999999998</v>
      </c>
      <c r="CN25" s="31">
        <f>31*24</f>
        <v>744</v>
      </c>
      <c r="CO25" s="86">
        <f t="shared" si="67"/>
        <v>635.20934399999999</v>
      </c>
      <c r="CP25" s="191" t="s">
        <v>423</v>
      </c>
      <c r="CQ25" s="56">
        <v>121.5</v>
      </c>
      <c r="CR25" s="56"/>
      <c r="CS25" s="184"/>
      <c r="CT25" s="186">
        <f>9240/60</f>
        <v>154</v>
      </c>
      <c r="CU25" s="190">
        <v>92.4</v>
      </c>
      <c r="CV25" s="86">
        <f t="shared" si="59"/>
        <v>0.85377599999999998</v>
      </c>
      <c r="CW25" s="52">
        <f>30*24</f>
        <v>720</v>
      </c>
      <c r="CX25" s="86">
        <f t="shared" si="68"/>
        <v>614.71871999999996</v>
      </c>
      <c r="CY25" s="191" t="s">
        <v>423</v>
      </c>
      <c r="CZ25" s="56">
        <v>121.5</v>
      </c>
      <c r="DA25" s="56"/>
      <c r="DB25" s="184"/>
      <c r="DC25" s="186">
        <f>9240/60</f>
        <v>154</v>
      </c>
      <c r="DD25" s="190">
        <v>92.4</v>
      </c>
      <c r="DE25" s="86">
        <f t="shared" si="60"/>
        <v>0.85377599999999998</v>
      </c>
      <c r="DF25" s="52">
        <f>31*24</f>
        <v>744</v>
      </c>
      <c r="DG25" s="86">
        <f t="shared" si="69"/>
        <v>635.20934399999999</v>
      </c>
      <c r="DH25" s="253"/>
      <c r="DI25" s="253"/>
      <c r="DJ25" s="253"/>
      <c r="DK25" s="253"/>
      <c r="DL25" s="253"/>
    </row>
    <row r="26" spans="1:116">
      <c r="A26" s="31" t="s">
        <v>282</v>
      </c>
      <c r="B26" s="31"/>
      <c r="C26" s="53">
        <v>0.8</v>
      </c>
      <c r="D26" s="214" t="s">
        <v>418</v>
      </c>
      <c r="E26" s="56">
        <v>159.1</v>
      </c>
      <c r="F26" s="56"/>
      <c r="G26" s="184"/>
      <c r="H26" s="186">
        <f>11300/60</f>
        <v>188.33333333333334</v>
      </c>
      <c r="I26" s="190">
        <v>84.71</v>
      </c>
      <c r="J26" s="86">
        <f t="shared" si="46"/>
        <v>0.95722300000000005</v>
      </c>
      <c r="K26" s="189">
        <f>17*24+8</f>
        <v>416</v>
      </c>
      <c r="L26" s="85">
        <f t="shared" si="47"/>
        <v>398.204768</v>
      </c>
      <c r="M26" s="214" t="s">
        <v>418</v>
      </c>
      <c r="N26" s="56">
        <v>159.1</v>
      </c>
      <c r="O26" s="56"/>
      <c r="P26" s="184"/>
      <c r="Q26" s="186">
        <f>11300/60</f>
        <v>188.33333333333334</v>
      </c>
      <c r="R26" s="190">
        <v>84.71</v>
      </c>
      <c r="S26" s="86">
        <f t="shared" si="48"/>
        <v>0.95722300000000005</v>
      </c>
      <c r="T26" s="187">
        <f>18*24+16</f>
        <v>448</v>
      </c>
      <c r="U26" s="85">
        <f t="shared" si="49"/>
        <v>428.83590400000003</v>
      </c>
      <c r="V26" s="214" t="s">
        <v>418</v>
      </c>
      <c r="W26" s="56">
        <v>159.1</v>
      </c>
      <c r="X26" s="56"/>
      <c r="Y26" s="184"/>
      <c r="Z26" s="186">
        <f>11300/60</f>
        <v>188.33333333333334</v>
      </c>
      <c r="AA26" s="190">
        <v>84.71</v>
      </c>
      <c r="AB26" s="86">
        <f t="shared" si="50"/>
        <v>0.95722300000000005</v>
      </c>
      <c r="AC26" s="190">
        <f>31*24</f>
        <v>744</v>
      </c>
      <c r="AD26" s="85">
        <f t="shared" si="51"/>
        <v>712.17391200000009</v>
      </c>
      <c r="AE26" s="214" t="s">
        <v>420</v>
      </c>
      <c r="AF26" s="53">
        <v>120.1</v>
      </c>
      <c r="AG26" s="53"/>
      <c r="AH26" s="85"/>
      <c r="AI26" s="186">
        <f>11200/60</f>
        <v>186.66666666666666</v>
      </c>
      <c r="AJ26" s="190">
        <v>83.3</v>
      </c>
      <c r="AK26" s="86">
        <f t="shared" si="52"/>
        <v>0.9329599999999999</v>
      </c>
      <c r="AL26" s="187">
        <f t="shared" ref="AL26:AL31" si="70">30*24</f>
        <v>720</v>
      </c>
      <c r="AM26" s="86">
        <f t="shared" si="61"/>
        <v>671.73119999999994</v>
      </c>
      <c r="AN26" s="214" t="s">
        <v>420</v>
      </c>
      <c r="AO26" s="53">
        <v>120.1</v>
      </c>
      <c r="AP26" s="53"/>
      <c r="AQ26" s="85"/>
      <c r="AR26" s="186">
        <f>11200/60</f>
        <v>186.66666666666666</v>
      </c>
      <c r="AS26" s="190">
        <v>83.3</v>
      </c>
      <c r="AT26" s="86">
        <f t="shared" si="53"/>
        <v>0.9329599999999999</v>
      </c>
      <c r="AU26" s="31">
        <f t="shared" ref="AU26:AU31" si="71">31*24</f>
        <v>744</v>
      </c>
      <c r="AV26" s="86">
        <f t="shared" si="62"/>
        <v>694.12223999999992</v>
      </c>
      <c r="AW26" s="214" t="s">
        <v>422</v>
      </c>
      <c r="AX26" s="53">
        <v>120.6</v>
      </c>
      <c r="AY26" s="53"/>
      <c r="AZ26" s="85"/>
      <c r="BA26" s="186">
        <f>11200/60</f>
        <v>186.66666666666666</v>
      </c>
      <c r="BB26" s="190">
        <v>95.3</v>
      </c>
      <c r="BC26" s="86">
        <f t="shared" si="54"/>
        <v>1.0673600000000001</v>
      </c>
      <c r="BD26" s="190">
        <f t="shared" ref="BD26:BD31" si="72">30*24</f>
        <v>720</v>
      </c>
      <c r="BE26" s="86">
        <f t="shared" si="63"/>
        <v>768.49920000000009</v>
      </c>
      <c r="BF26" s="214" t="s">
        <v>422</v>
      </c>
      <c r="BG26" s="53">
        <v>120.6</v>
      </c>
      <c r="BH26" s="53"/>
      <c r="BI26" s="85"/>
      <c r="BJ26" s="186">
        <f>11200/60</f>
        <v>186.66666666666666</v>
      </c>
      <c r="BK26" s="190">
        <v>95.3</v>
      </c>
      <c r="BL26" s="86">
        <f t="shared" si="55"/>
        <v>1.0673600000000001</v>
      </c>
      <c r="BM26" s="52">
        <f t="shared" ref="BM26:BM31" si="73">31*24</f>
        <v>744</v>
      </c>
      <c r="BN26" s="86">
        <f t="shared" si="64"/>
        <v>794.11584000000005</v>
      </c>
      <c r="BO26" s="214" t="s">
        <v>422</v>
      </c>
      <c r="BP26" s="53">
        <v>120.6</v>
      </c>
      <c r="BQ26" s="53"/>
      <c r="BR26" s="85"/>
      <c r="BS26" s="186">
        <f>11200/60</f>
        <v>186.66666666666666</v>
      </c>
      <c r="BT26" s="190">
        <v>95.3</v>
      </c>
      <c r="BU26" s="86">
        <f t="shared" si="56"/>
        <v>1.0673600000000001</v>
      </c>
      <c r="BV26" s="190">
        <f t="shared" ref="BV26:BV31" si="74">31*24</f>
        <v>744</v>
      </c>
      <c r="BW26" s="86">
        <f t="shared" si="65"/>
        <v>794.11584000000005</v>
      </c>
      <c r="BX26" s="214" t="s">
        <v>422</v>
      </c>
      <c r="BY26" s="53">
        <v>120.6</v>
      </c>
      <c r="BZ26" s="53"/>
      <c r="CA26" s="85"/>
      <c r="CB26" s="186">
        <f>11200/60</f>
        <v>186.66666666666666</v>
      </c>
      <c r="CC26" s="190">
        <v>95.3</v>
      </c>
      <c r="CD26" s="86">
        <f t="shared" si="57"/>
        <v>1.0673600000000001</v>
      </c>
      <c r="CE26" s="52">
        <f>30*24</f>
        <v>720</v>
      </c>
      <c r="CF26" s="86">
        <f t="shared" si="66"/>
        <v>768.49920000000009</v>
      </c>
      <c r="CG26" s="191" t="s">
        <v>423</v>
      </c>
      <c r="CH26" s="56">
        <v>122.7</v>
      </c>
      <c r="CI26" s="56"/>
      <c r="CJ26" s="184"/>
      <c r="CK26" s="186">
        <f>9500/60</f>
        <v>158.33333333333334</v>
      </c>
      <c r="CL26" s="190">
        <v>96.1</v>
      </c>
      <c r="CM26" s="86">
        <f t="shared" si="58"/>
        <v>0.91295000000000004</v>
      </c>
      <c r="CN26" s="31">
        <f t="shared" ref="CN26:CN30" si="75">31*24</f>
        <v>744</v>
      </c>
      <c r="CO26" s="86">
        <f t="shared" si="67"/>
        <v>679.23480000000006</v>
      </c>
      <c r="CP26" s="191" t="s">
        <v>423</v>
      </c>
      <c r="CQ26" s="56">
        <v>122.7</v>
      </c>
      <c r="CR26" s="56"/>
      <c r="CS26" s="184"/>
      <c r="CT26" s="186">
        <f>9500/60</f>
        <v>158.33333333333334</v>
      </c>
      <c r="CU26" s="190">
        <v>96.1</v>
      </c>
      <c r="CV26" s="86">
        <f t="shared" si="59"/>
        <v>0.91295000000000004</v>
      </c>
      <c r="CW26" s="52">
        <f t="shared" ref="CW26:CW30" si="76">30*24</f>
        <v>720</v>
      </c>
      <c r="CX26" s="86">
        <f t="shared" si="68"/>
        <v>657.32400000000007</v>
      </c>
      <c r="CY26" s="191" t="s">
        <v>423</v>
      </c>
      <c r="CZ26" s="56">
        <v>122.7</v>
      </c>
      <c r="DA26" s="56"/>
      <c r="DB26" s="184"/>
      <c r="DC26" s="186">
        <f>9500/60</f>
        <v>158.33333333333334</v>
      </c>
      <c r="DD26" s="190">
        <v>96.1</v>
      </c>
      <c r="DE26" s="86">
        <f t="shared" si="60"/>
        <v>0.91295000000000004</v>
      </c>
      <c r="DF26" s="52">
        <f t="shared" ref="DF26" si="77">31*24</f>
        <v>744</v>
      </c>
      <c r="DG26" s="86">
        <f t="shared" si="69"/>
        <v>679.23480000000006</v>
      </c>
      <c r="DH26" s="253"/>
      <c r="DI26" s="253"/>
      <c r="DJ26" s="253"/>
      <c r="DK26" s="253"/>
      <c r="DL26" s="253"/>
    </row>
    <row r="27" spans="1:116">
      <c r="A27" s="31" t="s">
        <v>283</v>
      </c>
      <c r="B27" s="31"/>
      <c r="C27" s="53">
        <v>0.8</v>
      </c>
      <c r="D27" s="214" t="s">
        <v>418</v>
      </c>
      <c r="E27" s="190">
        <v>146.5</v>
      </c>
      <c r="F27" s="56"/>
      <c r="G27" s="184"/>
      <c r="H27" s="186">
        <f>10530/60</f>
        <v>175.5</v>
      </c>
      <c r="I27" s="190">
        <v>80.19</v>
      </c>
      <c r="J27" s="86">
        <f t="shared" si="46"/>
        <v>0.8444007</v>
      </c>
      <c r="K27" s="189">
        <f>17*24+16</f>
        <v>424</v>
      </c>
      <c r="L27" s="85">
        <f t="shared" si="47"/>
        <v>358.0258968</v>
      </c>
      <c r="M27" s="214" t="s">
        <v>418</v>
      </c>
      <c r="N27" s="190">
        <v>146.5</v>
      </c>
      <c r="O27" s="56"/>
      <c r="P27" s="184"/>
      <c r="Q27" s="186">
        <f>10530/60</f>
        <v>175.5</v>
      </c>
      <c r="R27" s="190">
        <v>80.19</v>
      </c>
      <c r="S27" s="86">
        <f t="shared" si="48"/>
        <v>0.8444007</v>
      </c>
      <c r="T27" s="187">
        <v>0</v>
      </c>
      <c r="U27" s="85">
        <f t="shared" si="49"/>
        <v>0</v>
      </c>
      <c r="V27" s="214" t="s">
        <v>418</v>
      </c>
      <c r="W27" s="190">
        <v>146.5</v>
      </c>
      <c r="X27" s="56"/>
      <c r="Y27" s="184"/>
      <c r="Z27" s="186">
        <f>10530/60</f>
        <v>175.5</v>
      </c>
      <c r="AA27" s="190">
        <v>80.19</v>
      </c>
      <c r="AB27" s="86">
        <f t="shared" si="50"/>
        <v>0.8444007</v>
      </c>
      <c r="AC27" s="190">
        <f>26*24</f>
        <v>624</v>
      </c>
      <c r="AD27" s="85">
        <f t="shared" si="51"/>
        <v>526.90603680000004</v>
      </c>
      <c r="AE27" s="214" t="s">
        <v>420</v>
      </c>
      <c r="AF27" s="53">
        <v>145.9</v>
      </c>
      <c r="AG27" s="53"/>
      <c r="AH27" s="85"/>
      <c r="AI27" s="186">
        <f>10500/60</f>
        <v>175</v>
      </c>
      <c r="AJ27" s="190">
        <v>91.2</v>
      </c>
      <c r="AK27" s="86">
        <f t="shared" si="52"/>
        <v>0.95760000000000001</v>
      </c>
      <c r="AL27" s="187">
        <f t="shared" si="70"/>
        <v>720</v>
      </c>
      <c r="AM27" s="86">
        <f t="shared" si="61"/>
        <v>689.47199999999998</v>
      </c>
      <c r="AN27" s="214" t="s">
        <v>420</v>
      </c>
      <c r="AO27" s="53">
        <v>145.9</v>
      </c>
      <c r="AP27" s="53"/>
      <c r="AQ27" s="85"/>
      <c r="AR27" s="186">
        <f>10500/60</f>
        <v>175</v>
      </c>
      <c r="AS27" s="190">
        <v>91.2</v>
      </c>
      <c r="AT27" s="86">
        <f t="shared" si="53"/>
        <v>0.95760000000000001</v>
      </c>
      <c r="AU27" s="31">
        <f t="shared" si="71"/>
        <v>744</v>
      </c>
      <c r="AV27" s="86">
        <f t="shared" si="62"/>
        <v>712.45439999999996</v>
      </c>
      <c r="AW27" s="214" t="s">
        <v>422</v>
      </c>
      <c r="AX27" s="53">
        <v>117.5</v>
      </c>
      <c r="AY27" s="53"/>
      <c r="AZ27" s="85"/>
      <c r="BA27" s="186">
        <f>10500/60</f>
        <v>175</v>
      </c>
      <c r="BB27" s="190">
        <v>92.7</v>
      </c>
      <c r="BC27" s="86">
        <f t="shared" si="54"/>
        <v>0.97335000000000005</v>
      </c>
      <c r="BD27" s="190">
        <f t="shared" si="72"/>
        <v>720</v>
      </c>
      <c r="BE27" s="86">
        <f t="shared" si="63"/>
        <v>700.81200000000001</v>
      </c>
      <c r="BF27" s="214" t="s">
        <v>422</v>
      </c>
      <c r="BG27" s="53">
        <v>117.5</v>
      </c>
      <c r="BH27" s="53"/>
      <c r="BI27" s="85"/>
      <c r="BJ27" s="186">
        <f>10500/60</f>
        <v>175</v>
      </c>
      <c r="BK27" s="190">
        <v>92.7</v>
      </c>
      <c r="BL27" s="86">
        <f t="shared" si="55"/>
        <v>0.97335000000000005</v>
      </c>
      <c r="BM27" s="52">
        <f t="shared" si="73"/>
        <v>744</v>
      </c>
      <c r="BN27" s="86">
        <f t="shared" si="64"/>
        <v>724.17240000000004</v>
      </c>
      <c r="BO27" s="214" t="s">
        <v>422</v>
      </c>
      <c r="BP27" s="53">
        <v>117.5</v>
      </c>
      <c r="BQ27" s="53"/>
      <c r="BR27" s="85"/>
      <c r="BS27" s="186">
        <f>10500/60</f>
        <v>175</v>
      </c>
      <c r="BT27" s="190">
        <v>92.7</v>
      </c>
      <c r="BU27" s="86">
        <f t="shared" si="56"/>
        <v>0.97335000000000005</v>
      </c>
      <c r="BV27" s="190">
        <f t="shared" si="74"/>
        <v>744</v>
      </c>
      <c r="BW27" s="86">
        <f t="shared" si="65"/>
        <v>724.17240000000004</v>
      </c>
      <c r="BX27" s="214" t="s">
        <v>422</v>
      </c>
      <c r="BY27" s="53">
        <v>117.5</v>
      </c>
      <c r="BZ27" s="53"/>
      <c r="CA27" s="85"/>
      <c r="CB27" s="186">
        <f>10500/60</f>
        <v>175</v>
      </c>
      <c r="CC27" s="190">
        <v>92.7</v>
      </c>
      <c r="CD27" s="86">
        <f t="shared" si="57"/>
        <v>0.97335000000000005</v>
      </c>
      <c r="CE27" s="52">
        <f t="shared" ref="CE27:CE30" si="78">30*24</f>
        <v>720</v>
      </c>
      <c r="CF27" s="86">
        <f t="shared" si="66"/>
        <v>700.81200000000001</v>
      </c>
      <c r="CG27" s="191" t="s">
        <v>423</v>
      </c>
      <c r="CH27" s="56">
        <v>118.6</v>
      </c>
      <c r="CI27" s="56"/>
      <c r="CJ27" s="184"/>
      <c r="CK27" s="186">
        <f>11650/60</f>
        <v>194.16666666666666</v>
      </c>
      <c r="CL27" s="190">
        <v>93.8</v>
      </c>
      <c r="CM27" s="86">
        <f t="shared" si="58"/>
        <v>1.09277</v>
      </c>
      <c r="CN27" s="31">
        <f t="shared" si="75"/>
        <v>744</v>
      </c>
      <c r="CO27" s="86">
        <f t="shared" si="67"/>
        <v>813.02088000000003</v>
      </c>
      <c r="CP27" s="191" t="s">
        <v>423</v>
      </c>
      <c r="CQ27" s="56">
        <v>118.6</v>
      </c>
      <c r="CR27" s="56"/>
      <c r="CS27" s="184"/>
      <c r="CT27" s="186">
        <f>11650/60</f>
        <v>194.16666666666666</v>
      </c>
      <c r="CU27" s="190">
        <v>93.8</v>
      </c>
      <c r="CV27" s="86">
        <f t="shared" si="59"/>
        <v>1.09277</v>
      </c>
      <c r="CW27" s="52">
        <f t="shared" si="76"/>
        <v>720</v>
      </c>
      <c r="CX27" s="86">
        <f t="shared" si="68"/>
        <v>786.7944</v>
      </c>
      <c r="CY27" s="191" t="s">
        <v>423</v>
      </c>
      <c r="CZ27" s="56">
        <v>118.6</v>
      </c>
      <c r="DA27" s="56"/>
      <c r="DB27" s="184"/>
      <c r="DC27" s="186">
        <f>11650/60</f>
        <v>194.16666666666666</v>
      </c>
      <c r="DD27" s="190">
        <v>93.8</v>
      </c>
      <c r="DE27" s="86">
        <f t="shared" si="60"/>
        <v>1.09277</v>
      </c>
      <c r="DF27" s="52">
        <f>31*24</f>
        <v>744</v>
      </c>
      <c r="DG27" s="86">
        <f t="shared" si="69"/>
        <v>813.02088000000003</v>
      </c>
      <c r="DH27" s="253"/>
      <c r="DI27" s="253"/>
      <c r="DJ27" s="253"/>
      <c r="DK27" s="253"/>
      <c r="DL27" s="253"/>
    </row>
    <row r="28" spans="1:116">
      <c r="A28" s="31" t="s">
        <v>284</v>
      </c>
      <c r="B28" s="31"/>
      <c r="C28" s="53">
        <v>0.8</v>
      </c>
      <c r="D28" s="55" t="s">
        <v>417</v>
      </c>
      <c r="E28" s="53">
        <v>157.30000000000001</v>
      </c>
      <c r="F28" s="56"/>
      <c r="G28" s="184"/>
      <c r="H28" s="86">
        <f>10120/60</f>
        <v>168.66666666666666</v>
      </c>
      <c r="I28" s="188">
        <v>6.38</v>
      </c>
      <c r="J28" s="86">
        <f t="shared" si="46"/>
        <v>6.4565599999999987E-2</v>
      </c>
      <c r="K28" s="189">
        <f t="shared" ref="K28:K29" si="79">16*24</f>
        <v>384</v>
      </c>
      <c r="L28" s="85">
        <f t="shared" si="47"/>
        <v>24.793190399999993</v>
      </c>
      <c r="M28" s="55" t="s">
        <v>417</v>
      </c>
      <c r="N28" s="53">
        <v>157.30000000000001</v>
      </c>
      <c r="O28" s="56"/>
      <c r="P28" s="184"/>
      <c r="Q28" s="86">
        <f>10120/60</f>
        <v>168.66666666666666</v>
      </c>
      <c r="R28" s="188">
        <v>6.38</v>
      </c>
      <c r="S28" s="86">
        <f t="shared" si="48"/>
        <v>6.4565599999999987E-2</v>
      </c>
      <c r="T28" s="187">
        <f t="shared" ref="T28:T29" si="80">13*24+16</f>
        <v>328</v>
      </c>
      <c r="U28" s="85">
        <f t="shared" si="49"/>
        <v>21.177516799999996</v>
      </c>
      <c r="V28" s="55" t="s">
        <v>417</v>
      </c>
      <c r="W28" s="53">
        <v>157.30000000000001</v>
      </c>
      <c r="X28" s="56"/>
      <c r="Y28" s="184"/>
      <c r="Z28" s="86">
        <f>10120/60</f>
        <v>168.66666666666666</v>
      </c>
      <c r="AA28" s="188">
        <v>6.38</v>
      </c>
      <c r="AB28" s="86">
        <f t="shared" si="50"/>
        <v>6.4565599999999987E-2</v>
      </c>
      <c r="AC28" s="190">
        <f t="shared" ref="AC28:AC31" si="81">31*24</f>
        <v>744</v>
      </c>
      <c r="AD28" s="85">
        <f t="shared" si="51"/>
        <v>48.036806399999989</v>
      </c>
      <c r="AE28" s="214" t="s">
        <v>420</v>
      </c>
      <c r="AF28" s="53">
        <v>152.30000000000001</v>
      </c>
      <c r="AG28" s="53"/>
      <c r="AH28" s="85"/>
      <c r="AI28" s="86">
        <f>10700/60</f>
        <v>178.33333333333334</v>
      </c>
      <c r="AJ28" s="190">
        <v>93.1</v>
      </c>
      <c r="AK28" s="86">
        <f t="shared" si="52"/>
        <v>0.99616999999999989</v>
      </c>
      <c r="AL28" s="187">
        <f t="shared" si="70"/>
        <v>720</v>
      </c>
      <c r="AM28" s="86">
        <f t="shared" si="61"/>
        <v>717.24239999999998</v>
      </c>
      <c r="AN28" s="214" t="s">
        <v>420</v>
      </c>
      <c r="AO28" s="53">
        <v>152.30000000000001</v>
      </c>
      <c r="AP28" s="53"/>
      <c r="AQ28" s="85"/>
      <c r="AR28" s="86">
        <f>10700/60</f>
        <v>178.33333333333334</v>
      </c>
      <c r="AS28" s="190">
        <v>93.1</v>
      </c>
      <c r="AT28" s="86">
        <f t="shared" si="53"/>
        <v>0.99616999999999989</v>
      </c>
      <c r="AU28" s="31">
        <f t="shared" si="71"/>
        <v>744</v>
      </c>
      <c r="AV28" s="86">
        <f t="shared" si="62"/>
        <v>741.1504799999999</v>
      </c>
      <c r="AW28" s="214" t="s">
        <v>422</v>
      </c>
      <c r="AX28" s="53">
        <v>125.8</v>
      </c>
      <c r="AY28" s="53"/>
      <c r="AZ28" s="85"/>
      <c r="BA28" s="86">
        <f>10700/60</f>
        <v>178.33333333333334</v>
      </c>
      <c r="BB28" s="190">
        <v>96.2</v>
      </c>
      <c r="BC28" s="86">
        <f t="shared" si="54"/>
        <v>1.0293400000000001</v>
      </c>
      <c r="BD28" s="190">
        <f t="shared" si="72"/>
        <v>720</v>
      </c>
      <c r="BE28" s="86">
        <f t="shared" si="63"/>
        <v>741.12480000000005</v>
      </c>
      <c r="BF28" s="214" t="s">
        <v>422</v>
      </c>
      <c r="BG28" s="53">
        <v>125.8</v>
      </c>
      <c r="BH28" s="53"/>
      <c r="BI28" s="85"/>
      <c r="BJ28" s="86">
        <f>10700/60</f>
        <v>178.33333333333334</v>
      </c>
      <c r="BK28" s="190">
        <v>96.2</v>
      </c>
      <c r="BL28" s="86">
        <f t="shared" si="55"/>
        <v>1.0293400000000001</v>
      </c>
      <c r="BM28" s="52">
        <f t="shared" si="73"/>
        <v>744</v>
      </c>
      <c r="BN28" s="86">
        <f t="shared" si="64"/>
        <v>765.82896000000005</v>
      </c>
      <c r="BO28" s="214" t="s">
        <v>422</v>
      </c>
      <c r="BP28" s="53">
        <v>125.8</v>
      </c>
      <c r="BQ28" s="53"/>
      <c r="BR28" s="85"/>
      <c r="BS28" s="86">
        <f>10700/60</f>
        <v>178.33333333333334</v>
      </c>
      <c r="BT28" s="190">
        <v>96.2</v>
      </c>
      <c r="BU28" s="86">
        <f t="shared" si="56"/>
        <v>1.0293400000000001</v>
      </c>
      <c r="BV28" s="190">
        <f t="shared" si="74"/>
        <v>744</v>
      </c>
      <c r="BW28" s="86">
        <f t="shared" si="65"/>
        <v>765.82896000000005</v>
      </c>
      <c r="BX28" s="214" t="s">
        <v>422</v>
      </c>
      <c r="BY28" s="53">
        <v>125.8</v>
      </c>
      <c r="BZ28" s="53"/>
      <c r="CA28" s="85"/>
      <c r="CB28" s="86">
        <f>10700/60</f>
        <v>178.33333333333334</v>
      </c>
      <c r="CC28" s="190">
        <v>96.2</v>
      </c>
      <c r="CD28" s="86">
        <f t="shared" si="57"/>
        <v>1.0293400000000001</v>
      </c>
      <c r="CE28" s="52">
        <f t="shared" si="78"/>
        <v>720</v>
      </c>
      <c r="CF28" s="86">
        <f t="shared" si="66"/>
        <v>741.12480000000005</v>
      </c>
      <c r="CG28" s="214" t="s">
        <v>422</v>
      </c>
      <c r="CH28" s="53">
        <v>125.8</v>
      </c>
      <c r="CI28" s="53"/>
      <c r="CJ28" s="85"/>
      <c r="CK28" s="86">
        <f>10700/60</f>
        <v>178.33333333333334</v>
      </c>
      <c r="CL28" s="190">
        <v>96.2</v>
      </c>
      <c r="CM28" s="86">
        <f t="shared" si="58"/>
        <v>1.0293400000000001</v>
      </c>
      <c r="CN28" s="31">
        <f t="shared" si="75"/>
        <v>744</v>
      </c>
      <c r="CO28" s="86">
        <f t="shared" si="67"/>
        <v>765.82896000000005</v>
      </c>
      <c r="CP28" s="214" t="s">
        <v>422</v>
      </c>
      <c r="CQ28" s="53">
        <v>125.8</v>
      </c>
      <c r="CR28" s="53"/>
      <c r="CS28" s="85"/>
      <c r="CT28" s="86">
        <f>10700/60</f>
        <v>178.33333333333334</v>
      </c>
      <c r="CU28" s="190">
        <v>96.2</v>
      </c>
      <c r="CV28" s="86">
        <f t="shared" si="59"/>
        <v>1.0293400000000001</v>
      </c>
      <c r="CW28" s="52">
        <f t="shared" si="76"/>
        <v>720</v>
      </c>
      <c r="CX28" s="86">
        <f t="shared" si="68"/>
        <v>741.12480000000005</v>
      </c>
      <c r="CY28" s="214" t="s">
        <v>422</v>
      </c>
      <c r="CZ28" s="53">
        <v>125.8</v>
      </c>
      <c r="DA28" s="53"/>
      <c r="DB28" s="85"/>
      <c r="DC28" s="86">
        <f>10700/60</f>
        <v>178.33333333333334</v>
      </c>
      <c r="DD28" s="190">
        <v>96.2</v>
      </c>
      <c r="DE28" s="86">
        <f t="shared" si="60"/>
        <v>1.0293400000000001</v>
      </c>
      <c r="DF28" s="52">
        <f t="shared" ref="DF28:DF30" si="82">31*24</f>
        <v>744</v>
      </c>
      <c r="DG28" s="86">
        <f t="shared" si="69"/>
        <v>765.82896000000005</v>
      </c>
      <c r="DH28" s="253"/>
      <c r="DI28" s="253"/>
      <c r="DJ28" s="253"/>
      <c r="DK28" s="253"/>
      <c r="DL28" s="253"/>
    </row>
    <row r="29" spans="1:116">
      <c r="A29" s="31" t="s">
        <v>285</v>
      </c>
      <c r="B29" s="31"/>
      <c r="C29" s="53">
        <v>0.8</v>
      </c>
      <c r="D29" s="55" t="s">
        <v>417</v>
      </c>
      <c r="E29" s="53">
        <v>124.3</v>
      </c>
      <c r="F29" s="56"/>
      <c r="G29" s="184"/>
      <c r="H29" s="86">
        <f>8490/60</f>
        <v>141.5</v>
      </c>
      <c r="I29" s="188">
        <v>6.42</v>
      </c>
      <c r="J29" s="86">
        <f t="shared" si="46"/>
        <v>5.4505799999999993E-2</v>
      </c>
      <c r="K29" s="189">
        <f t="shared" si="79"/>
        <v>384</v>
      </c>
      <c r="L29" s="85">
        <f t="shared" si="47"/>
        <v>20.930227199999997</v>
      </c>
      <c r="M29" s="55" t="s">
        <v>417</v>
      </c>
      <c r="N29" s="53">
        <v>124.3</v>
      </c>
      <c r="O29" s="56"/>
      <c r="P29" s="184"/>
      <c r="Q29" s="86">
        <f>8490/60</f>
        <v>141.5</v>
      </c>
      <c r="R29" s="188">
        <v>6.42</v>
      </c>
      <c r="S29" s="86">
        <f t="shared" si="48"/>
        <v>5.4505799999999993E-2</v>
      </c>
      <c r="T29" s="187">
        <f t="shared" si="80"/>
        <v>328</v>
      </c>
      <c r="U29" s="85">
        <f t="shared" si="49"/>
        <v>17.877902399999996</v>
      </c>
      <c r="V29" s="55" t="s">
        <v>417</v>
      </c>
      <c r="W29" s="53">
        <v>124.3</v>
      </c>
      <c r="X29" s="56"/>
      <c r="Y29" s="184"/>
      <c r="Z29" s="86">
        <f>8490/60</f>
        <v>141.5</v>
      </c>
      <c r="AA29" s="188">
        <v>6.42</v>
      </c>
      <c r="AB29" s="86">
        <f t="shared" si="50"/>
        <v>5.4505799999999993E-2</v>
      </c>
      <c r="AC29" s="190">
        <f t="shared" si="81"/>
        <v>744</v>
      </c>
      <c r="AD29" s="85">
        <f t="shared" si="51"/>
        <v>40.552315199999995</v>
      </c>
      <c r="AE29" s="214" t="s">
        <v>420</v>
      </c>
      <c r="AF29" s="53">
        <v>149.5</v>
      </c>
      <c r="AG29" s="53"/>
      <c r="AH29" s="85"/>
      <c r="AI29" s="86">
        <f>11200/60</f>
        <v>186.66666666666666</v>
      </c>
      <c r="AJ29" s="190">
        <v>90.2</v>
      </c>
      <c r="AK29" s="86">
        <f t="shared" si="52"/>
        <v>1.0102399999999998</v>
      </c>
      <c r="AL29" s="187">
        <f t="shared" si="70"/>
        <v>720</v>
      </c>
      <c r="AM29" s="86">
        <f t="shared" si="61"/>
        <v>727.37279999999987</v>
      </c>
      <c r="AN29" s="214" t="s">
        <v>420</v>
      </c>
      <c r="AO29" s="53">
        <v>149.5</v>
      </c>
      <c r="AP29" s="53"/>
      <c r="AQ29" s="85"/>
      <c r="AR29" s="86">
        <f>11200/60</f>
        <v>186.66666666666666</v>
      </c>
      <c r="AS29" s="190">
        <v>90.2</v>
      </c>
      <c r="AT29" s="86">
        <f t="shared" si="53"/>
        <v>1.0102399999999998</v>
      </c>
      <c r="AU29" s="31">
        <f t="shared" si="71"/>
        <v>744</v>
      </c>
      <c r="AV29" s="86">
        <f t="shared" si="62"/>
        <v>751.61855999999989</v>
      </c>
      <c r="AW29" s="214" t="s">
        <v>422</v>
      </c>
      <c r="AX29" s="53">
        <v>105.7</v>
      </c>
      <c r="AY29" s="53"/>
      <c r="AZ29" s="85"/>
      <c r="BA29" s="86">
        <f>11200/60</f>
        <v>186.66666666666666</v>
      </c>
      <c r="BB29" s="190">
        <v>93.3</v>
      </c>
      <c r="BC29" s="86">
        <f t="shared" si="54"/>
        <v>1.0449600000000001</v>
      </c>
      <c r="BD29" s="190">
        <f t="shared" si="72"/>
        <v>720</v>
      </c>
      <c r="BE29" s="86">
        <f t="shared" si="63"/>
        <v>752.37120000000004</v>
      </c>
      <c r="BF29" s="214" t="s">
        <v>422</v>
      </c>
      <c r="BG29" s="53">
        <v>105.7</v>
      </c>
      <c r="BH29" s="53"/>
      <c r="BI29" s="85"/>
      <c r="BJ29" s="86">
        <f>11200/60</f>
        <v>186.66666666666666</v>
      </c>
      <c r="BK29" s="190">
        <v>93.3</v>
      </c>
      <c r="BL29" s="86">
        <f t="shared" si="55"/>
        <v>1.0449600000000001</v>
      </c>
      <c r="BM29" s="52">
        <f t="shared" si="73"/>
        <v>744</v>
      </c>
      <c r="BN29" s="86">
        <f t="shared" si="64"/>
        <v>777.45024000000012</v>
      </c>
      <c r="BO29" s="214" t="s">
        <v>422</v>
      </c>
      <c r="BP29" s="53">
        <v>105.7</v>
      </c>
      <c r="BQ29" s="53"/>
      <c r="BR29" s="85"/>
      <c r="BS29" s="86">
        <f>11200/60</f>
        <v>186.66666666666666</v>
      </c>
      <c r="BT29" s="190">
        <v>93.3</v>
      </c>
      <c r="BU29" s="86">
        <f t="shared" si="56"/>
        <v>1.0449600000000001</v>
      </c>
      <c r="BV29" s="190">
        <f t="shared" si="74"/>
        <v>744</v>
      </c>
      <c r="BW29" s="86">
        <f t="shared" si="65"/>
        <v>777.45024000000012</v>
      </c>
      <c r="BX29" s="214" t="s">
        <v>422</v>
      </c>
      <c r="BY29" s="53">
        <v>105.7</v>
      </c>
      <c r="BZ29" s="53"/>
      <c r="CA29" s="85"/>
      <c r="CB29" s="86">
        <f>11200/60</f>
        <v>186.66666666666666</v>
      </c>
      <c r="CC29" s="190">
        <v>93.3</v>
      </c>
      <c r="CD29" s="86">
        <f t="shared" si="57"/>
        <v>1.0449600000000001</v>
      </c>
      <c r="CE29" s="52">
        <f t="shared" si="78"/>
        <v>720</v>
      </c>
      <c r="CF29" s="86">
        <f t="shared" si="66"/>
        <v>752.37120000000004</v>
      </c>
      <c r="CG29" s="191" t="s">
        <v>423</v>
      </c>
      <c r="CH29" s="56">
        <v>124.7</v>
      </c>
      <c r="CI29" s="56"/>
      <c r="CJ29" s="184"/>
      <c r="CK29" s="186">
        <f>9340/60</f>
        <v>155.66666666666666</v>
      </c>
      <c r="CL29" s="190">
        <v>97.8</v>
      </c>
      <c r="CM29" s="86">
        <f t="shared" si="58"/>
        <v>0.91345199999999993</v>
      </c>
      <c r="CN29" s="31">
        <f t="shared" si="75"/>
        <v>744</v>
      </c>
      <c r="CO29" s="86">
        <f t="shared" si="67"/>
        <v>679.6082879999999</v>
      </c>
      <c r="CP29" s="191" t="s">
        <v>423</v>
      </c>
      <c r="CQ29" s="56">
        <v>124.7</v>
      </c>
      <c r="CR29" s="56"/>
      <c r="CS29" s="184"/>
      <c r="CT29" s="186">
        <f>9340/60</f>
        <v>155.66666666666666</v>
      </c>
      <c r="CU29" s="190">
        <v>97.8</v>
      </c>
      <c r="CV29" s="86">
        <f t="shared" si="59"/>
        <v>0.91345199999999993</v>
      </c>
      <c r="CW29" s="52">
        <f t="shared" si="76"/>
        <v>720</v>
      </c>
      <c r="CX29" s="86">
        <f t="shared" si="68"/>
        <v>657.68543999999997</v>
      </c>
      <c r="CY29" s="191" t="s">
        <v>423</v>
      </c>
      <c r="CZ29" s="56">
        <v>124.7</v>
      </c>
      <c r="DA29" s="56"/>
      <c r="DB29" s="184"/>
      <c r="DC29" s="186">
        <f>9340/60</f>
        <v>155.66666666666666</v>
      </c>
      <c r="DD29" s="190">
        <v>97.8</v>
      </c>
      <c r="DE29" s="86">
        <f t="shared" si="60"/>
        <v>0.91345199999999993</v>
      </c>
      <c r="DF29" s="52">
        <f t="shared" si="82"/>
        <v>744</v>
      </c>
      <c r="DG29" s="86">
        <f t="shared" si="69"/>
        <v>679.6082879999999</v>
      </c>
      <c r="DH29" s="253"/>
      <c r="DI29" s="253"/>
      <c r="DJ29" s="253"/>
      <c r="DK29" s="253"/>
      <c r="DL29" s="253"/>
    </row>
    <row r="30" spans="1:116">
      <c r="A30" s="31" t="s">
        <v>286</v>
      </c>
      <c r="B30" s="31"/>
      <c r="C30" s="53">
        <v>0.8</v>
      </c>
      <c r="D30" s="55" t="s">
        <v>417</v>
      </c>
      <c r="E30" s="53">
        <v>117.7</v>
      </c>
      <c r="F30" s="56"/>
      <c r="G30" s="184"/>
      <c r="H30" s="86">
        <f>8280/60</f>
        <v>138</v>
      </c>
      <c r="I30" s="188">
        <v>8.8000000000000007</v>
      </c>
      <c r="J30" s="86">
        <f t="shared" si="46"/>
        <v>7.2863999999999998E-2</v>
      </c>
      <c r="K30" s="189">
        <f t="shared" ref="K30:K31" si="83">17*24+8</f>
        <v>416</v>
      </c>
      <c r="L30" s="85">
        <f t="shared" si="47"/>
        <v>30.311423999999999</v>
      </c>
      <c r="M30" s="55" t="s">
        <v>417</v>
      </c>
      <c r="N30" s="53">
        <v>117.7</v>
      </c>
      <c r="O30" s="56"/>
      <c r="P30" s="184"/>
      <c r="Q30" s="86">
        <f>8280/60</f>
        <v>138</v>
      </c>
      <c r="R30" s="188">
        <v>8.8000000000000007</v>
      </c>
      <c r="S30" s="86">
        <f t="shared" si="48"/>
        <v>7.2863999999999998E-2</v>
      </c>
      <c r="T30" s="187">
        <f t="shared" ref="T30:T31" si="84">18*24+16</f>
        <v>448</v>
      </c>
      <c r="U30" s="85">
        <f t="shared" si="49"/>
        <v>32.643071999999997</v>
      </c>
      <c r="V30" s="55" t="s">
        <v>417</v>
      </c>
      <c r="W30" s="53">
        <v>117.7</v>
      </c>
      <c r="X30" s="56"/>
      <c r="Y30" s="184"/>
      <c r="Z30" s="86">
        <f>8280/60</f>
        <v>138</v>
      </c>
      <c r="AA30" s="188">
        <v>8.8000000000000007</v>
      </c>
      <c r="AB30" s="86">
        <f t="shared" si="50"/>
        <v>7.2863999999999998E-2</v>
      </c>
      <c r="AC30" s="190">
        <f t="shared" si="81"/>
        <v>744</v>
      </c>
      <c r="AD30" s="85">
        <f t="shared" si="51"/>
        <v>54.210816000000001</v>
      </c>
      <c r="AE30" s="214" t="s">
        <v>420</v>
      </c>
      <c r="AF30" s="53">
        <v>147.9</v>
      </c>
      <c r="AG30" s="53"/>
      <c r="AH30" s="85"/>
      <c r="AI30" s="86">
        <f>9900/60</f>
        <v>165</v>
      </c>
      <c r="AJ30" s="190">
        <v>93.4</v>
      </c>
      <c r="AK30" s="86">
        <f t="shared" si="52"/>
        <v>0.92466000000000015</v>
      </c>
      <c r="AL30" s="187">
        <f t="shared" si="70"/>
        <v>720</v>
      </c>
      <c r="AM30" s="86">
        <f t="shared" si="61"/>
        <v>665.75520000000006</v>
      </c>
      <c r="AN30" s="214" t="s">
        <v>420</v>
      </c>
      <c r="AO30" s="53">
        <v>147.9</v>
      </c>
      <c r="AP30" s="53"/>
      <c r="AQ30" s="85"/>
      <c r="AR30" s="86">
        <f>9900/60</f>
        <v>165</v>
      </c>
      <c r="AS30" s="190">
        <v>93.4</v>
      </c>
      <c r="AT30" s="86">
        <f t="shared" si="53"/>
        <v>0.92466000000000015</v>
      </c>
      <c r="AU30" s="31">
        <f t="shared" si="71"/>
        <v>744</v>
      </c>
      <c r="AV30" s="86">
        <f t="shared" si="62"/>
        <v>687.94704000000013</v>
      </c>
      <c r="AW30" s="214" t="s">
        <v>420</v>
      </c>
      <c r="AX30" s="53">
        <v>147.9</v>
      </c>
      <c r="AY30" s="53"/>
      <c r="AZ30" s="85"/>
      <c r="BA30" s="86">
        <f>9900/60</f>
        <v>165</v>
      </c>
      <c r="BB30" s="190">
        <v>93.4</v>
      </c>
      <c r="BC30" s="86">
        <f t="shared" si="54"/>
        <v>0.92466000000000015</v>
      </c>
      <c r="BD30" s="190">
        <f t="shared" si="72"/>
        <v>720</v>
      </c>
      <c r="BE30" s="86">
        <f t="shared" si="63"/>
        <v>665.75520000000006</v>
      </c>
      <c r="BF30" s="214" t="s">
        <v>420</v>
      </c>
      <c r="BG30" s="53">
        <v>147.9</v>
      </c>
      <c r="BH30" s="53"/>
      <c r="BI30" s="85"/>
      <c r="BJ30" s="86">
        <f>9900/60</f>
        <v>165</v>
      </c>
      <c r="BK30" s="190">
        <v>93.4</v>
      </c>
      <c r="BL30" s="86">
        <f t="shared" si="55"/>
        <v>0.92466000000000015</v>
      </c>
      <c r="BM30" s="52">
        <f t="shared" si="73"/>
        <v>744</v>
      </c>
      <c r="BN30" s="86">
        <f t="shared" si="64"/>
        <v>687.94704000000013</v>
      </c>
      <c r="BO30" s="214" t="s">
        <v>420</v>
      </c>
      <c r="BP30" s="53">
        <v>147.9</v>
      </c>
      <c r="BQ30" s="53"/>
      <c r="BR30" s="85"/>
      <c r="BS30" s="86">
        <f>9900/60</f>
        <v>165</v>
      </c>
      <c r="BT30" s="190">
        <v>93.4</v>
      </c>
      <c r="BU30" s="86">
        <f t="shared" si="56"/>
        <v>0.92466000000000015</v>
      </c>
      <c r="BV30" s="190">
        <f t="shared" si="74"/>
        <v>744</v>
      </c>
      <c r="BW30" s="86">
        <f t="shared" si="65"/>
        <v>687.94704000000013</v>
      </c>
      <c r="BX30" s="214" t="s">
        <v>420</v>
      </c>
      <c r="BY30" s="53">
        <v>147.9</v>
      </c>
      <c r="BZ30" s="53"/>
      <c r="CA30" s="85"/>
      <c r="CB30" s="86">
        <f>9900/60</f>
        <v>165</v>
      </c>
      <c r="CC30" s="190">
        <v>93.4</v>
      </c>
      <c r="CD30" s="86">
        <f t="shared" si="57"/>
        <v>0.92466000000000015</v>
      </c>
      <c r="CE30" s="52">
        <f t="shared" si="78"/>
        <v>720</v>
      </c>
      <c r="CF30" s="86">
        <f t="shared" si="66"/>
        <v>665.75520000000006</v>
      </c>
      <c r="CG30" s="191" t="s">
        <v>423</v>
      </c>
      <c r="CH30" s="56">
        <v>107.8</v>
      </c>
      <c r="CI30" s="56"/>
      <c r="CJ30" s="184"/>
      <c r="CK30" s="186">
        <f>12140/60</f>
        <v>202.33333333333334</v>
      </c>
      <c r="CL30" s="190">
        <v>92.9</v>
      </c>
      <c r="CM30" s="86">
        <f t="shared" si="58"/>
        <v>1.1278060000000003</v>
      </c>
      <c r="CN30" s="31">
        <f t="shared" si="75"/>
        <v>744</v>
      </c>
      <c r="CO30" s="86">
        <f t="shared" si="67"/>
        <v>839.08766400000025</v>
      </c>
      <c r="CP30" s="191" t="s">
        <v>423</v>
      </c>
      <c r="CQ30" s="56">
        <v>107.8</v>
      </c>
      <c r="CR30" s="56"/>
      <c r="CS30" s="184"/>
      <c r="CT30" s="186">
        <f>12140/60</f>
        <v>202.33333333333334</v>
      </c>
      <c r="CU30" s="190">
        <v>92.9</v>
      </c>
      <c r="CV30" s="86">
        <f t="shared" si="59"/>
        <v>1.1278060000000003</v>
      </c>
      <c r="CW30" s="52">
        <f t="shared" si="76"/>
        <v>720</v>
      </c>
      <c r="CX30" s="86">
        <f t="shared" si="68"/>
        <v>812.0203200000002</v>
      </c>
      <c r="CY30" s="191" t="s">
        <v>423</v>
      </c>
      <c r="CZ30" s="56">
        <v>107.8</v>
      </c>
      <c r="DA30" s="56"/>
      <c r="DB30" s="184"/>
      <c r="DC30" s="186">
        <f>12140/60</f>
        <v>202.33333333333334</v>
      </c>
      <c r="DD30" s="190">
        <v>92.9</v>
      </c>
      <c r="DE30" s="86">
        <f t="shared" si="60"/>
        <v>1.1278060000000003</v>
      </c>
      <c r="DF30" s="52">
        <f t="shared" si="82"/>
        <v>744</v>
      </c>
      <c r="DG30" s="86">
        <f t="shared" si="69"/>
        <v>839.08766400000025</v>
      </c>
      <c r="DH30" s="253"/>
      <c r="DI30" s="253"/>
      <c r="DJ30" s="253"/>
      <c r="DK30" s="253"/>
      <c r="DL30" s="253"/>
    </row>
    <row r="31" spans="1:116">
      <c r="A31" s="31" t="s">
        <v>287</v>
      </c>
      <c r="B31" s="31"/>
      <c r="C31" s="53">
        <v>0.8</v>
      </c>
      <c r="D31" s="214" t="s">
        <v>418</v>
      </c>
      <c r="E31" s="56">
        <v>150.4</v>
      </c>
      <c r="F31" s="190"/>
      <c r="G31" s="190"/>
      <c r="H31" s="186">
        <f>10650/60</f>
        <v>177.5</v>
      </c>
      <c r="I31" s="190">
        <v>91.11</v>
      </c>
      <c r="J31" s="86">
        <f t="shared" si="46"/>
        <v>0.97032149999999995</v>
      </c>
      <c r="K31" s="189">
        <f t="shared" si="83"/>
        <v>416</v>
      </c>
      <c r="L31" s="85">
        <f t="shared" si="47"/>
        <v>403.65374399999996</v>
      </c>
      <c r="M31" s="214" t="s">
        <v>418</v>
      </c>
      <c r="N31" s="56">
        <v>150.4</v>
      </c>
      <c r="O31" s="190"/>
      <c r="P31" s="190"/>
      <c r="Q31" s="186">
        <f>10650/60</f>
        <v>177.5</v>
      </c>
      <c r="R31" s="190">
        <v>91.11</v>
      </c>
      <c r="S31" s="86">
        <f t="shared" si="48"/>
        <v>0.97032149999999995</v>
      </c>
      <c r="T31" s="187">
        <f t="shared" si="84"/>
        <v>448</v>
      </c>
      <c r="U31" s="85">
        <f t="shared" si="49"/>
        <v>434.70403199999998</v>
      </c>
      <c r="V31" s="214" t="s">
        <v>418</v>
      </c>
      <c r="W31" s="56">
        <v>150.4</v>
      </c>
      <c r="X31" s="190"/>
      <c r="Y31" s="190"/>
      <c r="Z31" s="186">
        <f>10650/60</f>
        <v>177.5</v>
      </c>
      <c r="AA31" s="190">
        <v>91.11</v>
      </c>
      <c r="AB31" s="86">
        <f t="shared" si="50"/>
        <v>0.97032149999999995</v>
      </c>
      <c r="AC31" s="190">
        <f t="shared" si="81"/>
        <v>744</v>
      </c>
      <c r="AD31" s="85">
        <f t="shared" si="51"/>
        <v>721.91919599999994</v>
      </c>
      <c r="AE31" s="214" t="s">
        <v>418</v>
      </c>
      <c r="AF31" s="56">
        <v>150.4</v>
      </c>
      <c r="AG31" s="56"/>
      <c r="AH31" s="184"/>
      <c r="AI31" s="186">
        <f>10650/60</f>
        <v>177.5</v>
      </c>
      <c r="AJ31" s="190">
        <v>91.11</v>
      </c>
      <c r="AK31" s="86">
        <f t="shared" si="52"/>
        <v>0.97032149999999995</v>
      </c>
      <c r="AL31" s="187">
        <f t="shared" si="70"/>
        <v>720</v>
      </c>
      <c r="AM31" s="86">
        <f t="shared" si="61"/>
        <v>698.63148000000001</v>
      </c>
      <c r="AN31" s="214" t="s">
        <v>418</v>
      </c>
      <c r="AO31" s="56">
        <v>150.4</v>
      </c>
      <c r="AP31" s="56"/>
      <c r="AQ31" s="184"/>
      <c r="AR31" s="186">
        <f>10650/60</f>
        <v>177.5</v>
      </c>
      <c r="AS31" s="190">
        <v>91.11</v>
      </c>
      <c r="AT31" s="86">
        <f t="shared" si="53"/>
        <v>0.97032149999999995</v>
      </c>
      <c r="AU31" s="31">
        <f t="shared" si="71"/>
        <v>744</v>
      </c>
      <c r="AV31" s="86">
        <f t="shared" si="62"/>
        <v>721.91919599999994</v>
      </c>
      <c r="AW31" s="214" t="s">
        <v>418</v>
      </c>
      <c r="AX31" s="56">
        <v>150.4</v>
      </c>
      <c r="AY31" s="56"/>
      <c r="AZ31" s="184"/>
      <c r="BA31" s="186">
        <f>10650/60</f>
        <v>177.5</v>
      </c>
      <c r="BB31" s="190">
        <v>91.11</v>
      </c>
      <c r="BC31" s="86">
        <f t="shared" si="54"/>
        <v>0.97032149999999995</v>
      </c>
      <c r="BD31" s="190">
        <f t="shared" si="72"/>
        <v>720</v>
      </c>
      <c r="BE31" s="86">
        <f t="shared" si="63"/>
        <v>698.63148000000001</v>
      </c>
      <c r="BF31" s="214" t="s">
        <v>418</v>
      </c>
      <c r="BG31" s="56">
        <v>150.4</v>
      </c>
      <c r="BH31" s="56"/>
      <c r="BI31" s="184"/>
      <c r="BJ31" s="186">
        <f>10650/60</f>
        <v>177.5</v>
      </c>
      <c r="BK31" s="190">
        <v>91.11</v>
      </c>
      <c r="BL31" s="86">
        <f t="shared" si="55"/>
        <v>0.97032149999999995</v>
      </c>
      <c r="BM31" s="52">
        <f t="shared" si="73"/>
        <v>744</v>
      </c>
      <c r="BN31" s="86">
        <f t="shared" si="64"/>
        <v>721.91919599999994</v>
      </c>
      <c r="BO31" s="214" t="s">
        <v>418</v>
      </c>
      <c r="BP31" s="56">
        <v>150.4</v>
      </c>
      <c r="BQ31" s="56"/>
      <c r="BR31" s="184"/>
      <c r="BS31" s="186">
        <f>10650/60</f>
        <v>177.5</v>
      </c>
      <c r="BT31" s="190">
        <v>91.11</v>
      </c>
      <c r="BU31" s="86">
        <f t="shared" si="56"/>
        <v>0.97032149999999995</v>
      </c>
      <c r="BV31" s="190">
        <f t="shared" si="74"/>
        <v>744</v>
      </c>
      <c r="BW31" s="86">
        <f t="shared" si="65"/>
        <v>721.91919599999994</v>
      </c>
      <c r="BX31" s="214" t="s">
        <v>418</v>
      </c>
      <c r="BY31" s="56">
        <v>150.4</v>
      </c>
      <c r="BZ31" s="56"/>
      <c r="CA31" s="184"/>
      <c r="CB31" s="186">
        <f>10650/60</f>
        <v>177.5</v>
      </c>
      <c r="CC31" s="190">
        <v>91.11</v>
      </c>
      <c r="CD31" s="86">
        <f t="shared" si="57"/>
        <v>0.97032149999999995</v>
      </c>
      <c r="CE31" s="52">
        <f>2*24</f>
        <v>48</v>
      </c>
      <c r="CF31" s="86">
        <f t="shared" si="66"/>
        <v>46.575431999999999</v>
      </c>
      <c r="CG31" s="191" t="s">
        <v>423</v>
      </c>
      <c r="CH31" s="56">
        <v>111.4</v>
      </c>
      <c r="CI31" s="56"/>
      <c r="CJ31" s="184"/>
      <c r="CK31" s="186">
        <f>10450/60</f>
        <v>174.16666666666666</v>
      </c>
      <c r="CL31" s="190">
        <v>97.1</v>
      </c>
      <c r="CM31" s="86">
        <f t="shared" si="58"/>
        <v>1.0146949999999999</v>
      </c>
      <c r="CN31" s="31">
        <v>0</v>
      </c>
      <c r="CO31" s="86">
        <f t="shared" si="67"/>
        <v>0</v>
      </c>
      <c r="CP31" s="191" t="s">
        <v>423</v>
      </c>
      <c r="CQ31" s="56">
        <v>111.4</v>
      </c>
      <c r="CR31" s="56"/>
      <c r="CS31" s="184"/>
      <c r="CT31" s="186">
        <f>10450/60</f>
        <v>174.16666666666666</v>
      </c>
      <c r="CU31" s="190">
        <v>97.1</v>
      </c>
      <c r="CV31" s="86">
        <f t="shared" si="59"/>
        <v>1.0146949999999999</v>
      </c>
      <c r="CW31" s="52">
        <v>0</v>
      </c>
      <c r="CX31" s="86">
        <f t="shared" si="68"/>
        <v>0</v>
      </c>
      <c r="CY31" s="191" t="s">
        <v>423</v>
      </c>
      <c r="CZ31" s="56">
        <v>111.4</v>
      </c>
      <c r="DA31" s="56"/>
      <c r="DB31" s="184"/>
      <c r="DC31" s="186">
        <f>10450/60</f>
        <v>174.16666666666666</v>
      </c>
      <c r="DD31" s="190">
        <v>97.1</v>
      </c>
      <c r="DE31" s="86">
        <f t="shared" si="60"/>
        <v>1.0146949999999999</v>
      </c>
      <c r="DF31" s="52">
        <f>26*24</f>
        <v>624</v>
      </c>
      <c r="DG31" s="86">
        <f t="shared" si="69"/>
        <v>633.16967999999997</v>
      </c>
      <c r="DH31" s="253"/>
      <c r="DI31" s="253"/>
      <c r="DJ31" s="253"/>
      <c r="DK31" s="253"/>
      <c r="DL31" s="253"/>
    </row>
    <row r="32" spans="1:116">
      <c r="A32" s="31" t="s">
        <v>288</v>
      </c>
      <c r="B32" s="31"/>
      <c r="C32" s="53">
        <v>0.8</v>
      </c>
      <c r="D32" s="214" t="s">
        <v>418</v>
      </c>
      <c r="E32" s="56">
        <v>120.1</v>
      </c>
      <c r="F32" s="190"/>
      <c r="G32" s="190"/>
      <c r="H32" s="186">
        <f>10700/60</f>
        <v>178.33333333333334</v>
      </c>
      <c r="I32" s="190">
        <v>92.18</v>
      </c>
      <c r="J32" s="86">
        <f t="shared" si="46"/>
        <v>0.98632600000000026</v>
      </c>
      <c r="K32" s="189">
        <f t="shared" ref="K32:K33" si="85">17*24+16</f>
        <v>424</v>
      </c>
      <c r="L32" s="85">
        <f t="shared" si="47"/>
        <v>418.20222400000011</v>
      </c>
      <c r="M32" s="214" t="s">
        <v>418</v>
      </c>
      <c r="N32" s="56">
        <v>120.1</v>
      </c>
      <c r="O32" s="190"/>
      <c r="P32" s="190"/>
      <c r="Q32" s="186">
        <f>10700/60</f>
        <v>178.33333333333334</v>
      </c>
      <c r="R32" s="190">
        <v>92.18</v>
      </c>
      <c r="S32" s="86">
        <f t="shared" si="48"/>
        <v>0.98632600000000026</v>
      </c>
      <c r="T32" s="187">
        <v>0</v>
      </c>
      <c r="U32" s="85">
        <f t="shared" si="49"/>
        <v>0</v>
      </c>
      <c r="V32" s="214" t="s">
        <v>418</v>
      </c>
      <c r="W32" s="56">
        <v>120.1</v>
      </c>
      <c r="X32" s="190"/>
      <c r="Y32" s="190"/>
      <c r="Z32" s="186">
        <f>10700/60</f>
        <v>178.33333333333334</v>
      </c>
      <c r="AA32" s="190">
        <v>92.18</v>
      </c>
      <c r="AB32" s="86">
        <f t="shared" si="50"/>
        <v>0.98632600000000026</v>
      </c>
      <c r="AC32" s="190">
        <f>26*24</f>
        <v>624</v>
      </c>
      <c r="AD32" s="85">
        <f t="shared" si="51"/>
        <v>615.46742400000016</v>
      </c>
      <c r="AE32" s="214" t="s">
        <v>418</v>
      </c>
      <c r="AF32" s="56">
        <v>120.1</v>
      </c>
      <c r="AG32" s="56"/>
      <c r="AH32" s="184"/>
      <c r="AI32" s="186">
        <f>10700/60</f>
        <v>178.33333333333334</v>
      </c>
      <c r="AJ32" s="190">
        <v>92.18</v>
      </c>
      <c r="AK32" s="86">
        <f t="shared" si="52"/>
        <v>0.98632600000000026</v>
      </c>
      <c r="AL32" s="187">
        <f>4*24+6</f>
        <v>102</v>
      </c>
      <c r="AM32" s="86">
        <f t="shared" si="61"/>
        <v>100.60525200000002</v>
      </c>
      <c r="AN32" s="214" t="s">
        <v>418</v>
      </c>
      <c r="AO32" s="56">
        <v>120.1</v>
      </c>
      <c r="AP32" s="56"/>
      <c r="AQ32" s="184"/>
      <c r="AR32" s="186">
        <f>10700/60</f>
        <v>178.33333333333334</v>
      </c>
      <c r="AS32" s="190">
        <v>92.18</v>
      </c>
      <c r="AT32" s="86">
        <f t="shared" si="53"/>
        <v>0.98632600000000026</v>
      </c>
      <c r="AU32" s="31">
        <v>0</v>
      </c>
      <c r="AV32" s="86">
        <f t="shared" si="62"/>
        <v>0</v>
      </c>
      <c r="AW32" s="214" t="s">
        <v>418</v>
      </c>
      <c r="AX32" s="56">
        <v>120.1</v>
      </c>
      <c r="AY32" s="56"/>
      <c r="AZ32" s="184"/>
      <c r="BA32" s="186">
        <f>10700/60</f>
        <v>178.33333333333334</v>
      </c>
      <c r="BB32" s="190">
        <v>92.18</v>
      </c>
      <c r="BC32" s="86">
        <f t="shared" si="54"/>
        <v>0.98632600000000026</v>
      </c>
      <c r="BD32" s="190">
        <f>17*24</f>
        <v>408</v>
      </c>
      <c r="BE32" s="86">
        <f t="shared" si="63"/>
        <v>402.42100800000009</v>
      </c>
      <c r="BF32" s="214" t="s">
        <v>418</v>
      </c>
      <c r="BG32" s="56">
        <v>120.1</v>
      </c>
      <c r="BH32" s="56"/>
      <c r="BI32" s="184"/>
      <c r="BJ32" s="186">
        <f>10700/60</f>
        <v>178.33333333333334</v>
      </c>
      <c r="BK32" s="190">
        <v>92.18</v>
      </c>
      <c r="BL32" s="86">
        <f t="shared" si="55"/>
        <v>0.98632600000000026</v>
      </c>
      <c r="BM32" s="52">
        <f>31*24-48</f>
        <v>696</v>
      </c>
      <c r="BN32" s="86">
        <f t="shared" si="64"/>
        <v>686.48289600000021</v>
      </c>
      <c r="BO32" s="214" t="s">
        <v>418</v>
      </c>
      <c r="BP32" s="56">
        <v>120.1</v>
      </c>
      <c r="BQ32" s="56"/>
      <c r="BR32" s="184"/>
      <c r="BS32" s="186">
        <f>10700/60</f>
        <v>178.33333333333334</v>
      </c>
      <c r="BT32" s="190">
        <v>92.18</v>
      </c>
      <c r="BU32" s="86">
        <f t="shared" si="56"/>
        <v>0.98632600000000026</v>
      </c>
      <c r="BV32" s="190">
        <v>0</v>
      </c>
      <c r="BW32" s="86">
        <f t="shared" si="65"/>
        <v>0</v>
      </c>
      <c r="BX32" s="214" t="s">
        <v>418</v>
      </c>
      <c r="BY32" s="56">
        <v>120.1</v>
      </c>
      <c r="BZ32" s="56"/>
      <c r="CA32" s="184"/>
      <c r="CB32" s="186">
        <f>10700/60</f>
        <v>178.33333333333334</v>
      </c>
      <c r="CC32" s="190">
        <v>92.18</v>
      </c>
      <c r="CD32" s="86">
        <f>CB32*(CC32)*60/1000000</f>
        <v>0.98632600000000026</v>
      </c>
      <c r="CE32" s="52">
        <v>0</v>
      </c>
      <c r="CF32" s="86">
        <f>CD32*CE32</f>
        <v>0</v>
      </c>
      <c r="CG32" s="214" t="s">
        <v>418</v>
      </c>
      <c r="CH32" s="56">
        <v>120.1</v>
      </c>
      <c r="CI32" s="56"/>
      <c r="CJ32" s="184"/>
      <c r="CK32" s="186">
        <f>10700/60</f>
        <v>178.33333333333334</v>
      </c>
      <c r="CL32" s="190">
        <v>92.18</v>
      </c>
      <c r="CM32" s="86">
        <f t="shared" si="58"/>
        <v>0.98632600000000026</v>
      </c>
      <c r="CN32" s="31">
        <v>0</v>
      </c>
      <c r="CO32" s="86">
        <f t="shared" si="67"/>
        <v>0</v>
      </c>
      <c r="CP32" s="214" t="s">
        <v>418</v>
      </c>
      <c r="CQ32" s="56">
        <v>120.1</v>
      </c>
      <c r="CR32" s="56"/>
      <c r="CS32" s="184"/>
      <c r="CT32" s="186">
        <f>10700/60</f>
        <v>178.33333333333334</v>
      </c>
      <c r="CU32" s="190">
        <v>92.18</v>
      </c>
      <c r="CV32" s="86">
        <f t="shared" si="59"/>
        <v>0.98632600000000026</v>
      </c>
      <c r="CW32" s="52">
        <v>0</v>
      </c>
      <c r="CX32" s="86">
        <f t="shared" si="68"/>
        <v>0</v>
      </c>
      <c r="CY32" s="214" t="s">
        <v>418</v>
      </c>
      <c r="CZ32" s="56">
        <v>120.1</v>
      </c>
      <c r="DA32" s="56"/>
      <c r="DB32" s="184"/>
      <c r="DC32" s="186">
        <f>10700/60</f>
        <v>178.33333333333334</v>
      </c>
      <c r="DD32" s="190">
        <v>92.18</v>
      </c>
      <c r="DE32" s="86">
        <f t="shared" si="60"/>
        <v>0.98632600000000026</v>
      </c>
      <c r="DF32" s="52">
        <v>0</v>
      </c>
      <c r="DG32" s="86">
        <f t="shared" si="69"/>
        <v>0</v>
      </c>
      <c r="DH32" s="253"/>
      <c r="DI32" s="253"/>
      <c r="DJ32" s="253"/>
      <c r="DK32" s="253"/>
      <c r="DL32" s="253"/>
    </row>
    <row r="33" spans="1:116">
      <c r="A33" s="31" t="s">
        <v>289</v>
      </c>
      <c r="B33" s="31"/>
      <c r="C33" s="53">
        <v>0.8</v>
      </c>
      <c r="D33" s="214" t="s">
        <v>418</v>
      </c>
      <c r="E33" s="190">
        <v>117.5</v>
      </c>
      <c r="F33" s="56"/>
      <c r="G33" s="184"/>
      <c r="H33" s="186">
        <f>10560/60</f>
        <v>176</v>
      </c>
      <c r="I33" s="190">
        <v>93.15</v>
      </c>
      <c r="J33" s="86">
        <f t="shared" si="46"/>
        <v>0.98366400000000009</v>
      </c>
      <c r="K33" s="189">
        <f t="shared" si="85"/>
        <v>424</v>
      </c>
      <c r="L33" s="85">
        <f t="shared" si="47"/>
        <v>417.07353600000005</v>
      </c>
      <c r="M33" s="214" t="s">
        <v>418</v>
      </c>
      <c r="N33" s="190">
        <v>117.5</v>
      </c>
      <c r="O33" s="56"/>
      <c r="P33" s="184"/>
      <c r="Q33" s="186">
        <f>10560/60</f>
        <v>176</v>
      </c>
      <c r="R33" s="190">
        <v>93.15</v>
      </c>
      <c r="S33" s="86">
        <f t="shared" si="48"/>
        <v>0.98366400000000009</v>
      </c>
      <c r="T33" s="187">
        <v>0</v>
      </c>
      <c r="U33" s="85">
        <f t="shared" si="49"/>
        <v>0</v>
      </c>
      <c r="V33" s="214" t="s">
        <v>418</v>
      </c>
      <c r="W33" s="190">
        <v>117.5</v>
      </c>
      <c r="X33" s="56"/>
      <c r="Y33" s="184"/>
      <c r="Z33" s="186">
        <f>10560/60</f>
        <v>176</v>
      </c>
      <c r="AA33" s="190">
        <v>93.15</v>
      </c>
      <c r="AB33" s="86">
        <f t="shared" si="50"/>
        <v>0.98366400000000009</v>
      </c>
      <c r="AC33" s="190">
        <f>25*24</f>
        <v>600</v>
      </c>
      <c r="AD33" s="85">
        <f t="shared" si="51"/>
        <v>590.19840000000011</v>
      </c>
      <c r="AE33" s="214" t="s">
        <v>418</v>
      </c>
      <c r="AF33" s="190">
        <v>117.5</v>
      </c>
      <c r="AG33" s="190"/>
      <c r="AH33" s="190"/>
      <c r="AI33" s="186">
        <f>10560/60</f>
        <v>176</v>
      </c>
      <c r="AJ33" s="190">
        <v>93.15</v>
      </c>
      <c r="AK33" s="86">
        <f t="shared" si="52"/>
        <v>0.98366400000000009</v>
      </c>
      <c r="AL33" s="187">
        <f>30*24</f>
        <v>720</v>
      </c>
      <c r="AM33" s="86">
        <f t="shared" si="61"/>
        <v>708.23808000000008</v>
      </c>
      <c r="AN33" s="214" t="s">
        <v>418</v>
      </c>
      <c r="AO33" s="190">
        <v>117.5</v>
      </c>
      <c r="AP33" s="190"/>
      <c r="AQ33" s="190"/>
      <c r="AR33" s="186">
        <f>10560/60</f>
        <v>176</v>
      </c>
      <c r="AS33" s="190">
        <v>93.15</v>
      </c>
      <c r="AT33" s="86">
        <f t="shared" si="53"/>
        <v>0.98366400000000009</v>
      </c>
      <c r="AU33" s="31">
        <f>31*24</f>
        <v>744</v>
      </c>
      <c r="AV33" s="86">
        <f t="shared" si="62"/>
        <v>731.84601600000008</v>
      </c>
      <c r="AW33" s="214" t="s">
        <v>422</v>
      </c>
      <c r="AX33" s="190">
        <v>109.3</v>
      </c>
      <c r="AY33" s="190"/>
      <c r="AZ33" s="190"/>
      <c r="BA33" s="186">
        <f>10560/60</f>
        <v>176</v>
      </c>
      <c r="BB33" s="190">
        <v>95.4</v>
      </c>
      <c r="BC33" s="86">
        <f t="shared" si="54"/>
        <v>1.0074240000000001</v>
      </c>
      <c r="BD33" s="190">
        <f>30*24</f>
        <v>720</v>
      </c>
      <c r="BE33" s="86">
        <f t="shared" si="63"/>
        <v>725.34528000000012</v>
      </c>
      <c r="BF33" s="214" t="s">
        <v>422</v>
      </c>
      <c r="BG33" s="190">
        <v>109.3</v>
      </c>
      <c r="BH33" s="190"/>
      <c r="BI33" s="190"/>
      <c r="BJ33" s="186">
        <f>10560/60</f>
        <v>176</v>
      </c>
      <c r="BK33" s="190">
        <v>95.4</v>
      </c>
      <c r="BL33" s="86">
        <f t="shared" si="55"/>
        <v>1.0074240000000001</v>
      </c>
      <c r="BM33" s="52">
        <f>31*24</f>
        <v>744</v>
      </c>
      <c r="BN33" s="86">
        <f t="shared" si="64"/>
        <v>749.52345600000012</v>
      </c>
      <c r="BO33" s="214" t="s">
        <v>422</v>
      </c>
      <c r="BP33" s="190">
        <v>109.3</v>
      </c>
      <c r="BQ33" s="190"/>
      <c r="BR33" s="190"/>
      <c r="BS33" s="186">
        <f>10560/60</f>
        <v>176</v>
      </c>
      <c r="BT33" s="190">
        <v>95.4</v>
      </c>
      <c r="BU33" s="86">
        <f t="shared" si="56"/>
        <v>1.0074240000000001</v>
      </c>
      <c r="BV33" s="190">
        <f>31*24</f>
        <v>744</v>
      </c>
      <c r="BW33" s="86">
        <f t="shared" si="65"/>
        <v>749.52345600000012</v>
      </c>
      <c r="BX33" s="214" t="s">
        <v>422</v>
      </c>
      <c r="BY33" s="190">
        <v>109.3</v>
      </c>
      <c r="BZ33" s="190"/>
      <c r="CA33" s="190"/>
      <c r="CB33" s="186">
        <f>10560/60</f>
        <v>176</v>
      </c>
      <c r="CC33" s="190">
        <v>95.4</v>
      </c>
      <c r="CD33" s="86">
        <f>CB33*(CC33)*60/1000000</f>
        <v>1.0074240000000001</v>
      </c>
      <c r="CE33" s="52">
        <f>30*24</f>
        <v>720</v>
      </c>
      <c r="CF33" s="86">
        <f>CD33*CE33</f>
        <v>725.34528000000012</v>
      </c>
      <c r="CG33" s="214" t="s">
        <v>422</v>
      </c>
      <c r="CH33" s="190">
        <v>109.3</v>
      </c>
      <c r="CI33" s="190"/>
      <c r="CJ33" s="190"/>
      <c r="CK33" s="186">
        <f>10560/60</f>
        <v>176</v>
      </c>
      <c r="CL33" s="190">
        <v>95.4</v>
      </c>
      <c r="CM33" s="86">
        <f t="shared" si="58"/>
        <v>1.0074240000000001</v>
      </c>
      <c r="CN33" s="31">
        <f t="shared" ref="CN33" si="86">31*24</f>
        <v>744</v>
      </c>
      <c r="CO33" s="86">
        <f t="shared" si="67"/>
        <v>749.52345600000012</v>
      </c>
      <c r="CP33" s="214" t="s">
        <v>422</v>
      </c>
      <c r="CQ33" s="190">
        <v>109.3</v>
      </c>
      <c r="CR33" s="190"/>
      <c r="CS33" s="190"/>
      <c r="CT33" s="186">
        <f>10560/60</f>
        <v>176</v>
      </c>
      <c r="CU33" s="190">
        <v>95.4</v>
      </c>
      <c r="CV33" s="86">
        <f t="shared" si="59"/>
        <v>1.0074240000000001</v>
      </c>
      <c r="CW33" s="52">
        <f>30*24</f>
        <v>720</v>
      </c>
      <c r="CX33" s="86">
        <f t="shared" si="68"/>
        <v>725.34528000000012</v>
      </c>
      <c r="CY33" s="214" t="s">
        <v>422</v>
      </c>
      <c r="CZ33" s="190">
        <v>109.3</v>
      </c>
      <c r="DA33" s="190"/>
      <c r="DB33" s="190"/>
      <c r="DC33" s="186">
        <f>10560/60</f>
        <v>176</v>
      </c>
      <c r="DD33" s="190">
        <v>95.4</v>
      </c>
      <c r="DE33" s="86">
        <f t="shared" si="60"/>
        <v>1.0074240000000001</v>
      </c>
      <c r="DF33" s="52">
        <f t="shared" ref="DF33" si="87">31*24</f>
        <v>744</v>
      </c>
      <c r="DG33" s="86">
        <f t="shared" si="69"/>
        <v>749.52345600000012</v>
      </c>
      <c r="DH33" s="253"/>
      <c r="DI33" s="253"/>
      <c r="DJ33" s="253"/>
      <c r="DK33" s="253"/>
      <c r="DL33" s="253"/>
    </row>
    <row r="34" spans="1:116">
      <c r="A34" s="31"/>
      <c r="B34" s="31"/>
      <c r="C34" s="53"/>
      <c r="D34" s="183"/>
      <c r="E34" s="56"/>
      <c r="F34" s="56"/>
      <c r="G34" s="184"/>
      <c r="H34" s="186"/>
      <c r="I34" s="190"/>
      <c r="J34" s="86">
        <f t="shared" si="46"/>
        <v>0</v>
      </c>
      <c r="K34" s="192"/>
      <c r="L34" s="85">
        <f t="shared" si="47"/>
        <v>0</v>
      </c>
      <c r="M34" s="183"/>
      <c r="N34" s="56"/>
      <c r="O34" s="56"/>
      <c r="P34" s="184"/>
      <c r="Q34" s="186"/>
      <c r="R34" s="190"/>
      <c r="S34" s="86">
        <f t="shared" si="48"/>
        <v>0</v>
      </c>
      <c r="T34" s="31"/>
      <c r="U34" s="85">
        <f t="shared" si="49"/>
        <v>0</v>
      </c>
      <c r="V34" s="183"/>
      <c r="W34" s="56"/>
      <c r="X34" s="56"/>
      <c r="Y34" s="184"/>
      <c r="Z34" s="186"/>
      <c r="AA34" s="190"/>
      <c r="AB34" s="86">
        <f t="shared" si="50"/>
        <v>0</v>
      </c>
      <c r="AC34" s="31"/>
      <c r="AD34" s="85">
        <f t="shared" si="51"/>
        <v>0</v>
      </c>
      <c r="AE34" s="191"/>
      <c r="AF34" s="56"/>
      <c r="AG34" s="56"/>
      <c r="AH34" s="184"/>
      <c r="AI34" s="184"/>
      <c r="AJ34" s="190"/>
      <c r="AK34" s="86">
        <f t="shared" si="52"/>
        <v>0</v>
      </c>
      <c r="AL34" s="52"/>
      <c r="AM34" s="86">
        <f t="shared" si="61"/>
        <v>0</v>
      </c>
      <c r="AN34" s="191"/>
      <c r="AO34" s="56"/>
      <c r="AP34" s="56"/>
      <c r="AQ34" s="184"/>
      <c r="AR34" s="184"/>
      <c r="AS34" s="190"/>
      <c r="AT34" s="86">
        <f t="shared" si="53"/>
        <v>0</v>
      </c>
      <c r="AU34" s="31"/>
      <c r="AV34" s="86">
        <f t="shared" si="62"/>
        <v>0</v>
      </c>
      <c r="AW34" s="191"/>
      <c r="AX34" s="56"/>
      <c r="AY34" s="56"/>
      <c r="AZ34" s="184"/>
      <c r="BA34" s="184"/>
      <c r="BB34" s="190"/>
      <c r="BC34" s="86">
        <f t="shared" si="54"/>
        <v>0</v>
      </c>
      <c r="BD34" s="31"/>
      <c r="BE34" s="86">
        <f t="shared" si="63"/>
        <v>0</v>
      </c>
      <c r="BF34" s="191"/>
      <c r="BG34" s="56"/>
      <c r="BH34" s="56"/>
      <c r="BI34" s="184"/>
      <c r="BJ34" s="184"/>
      <c r="BK34" s="190"/>
      <c r="BL34" s="86">
        <f t="shared" si="55"/>
        <v>0</v>
      </c>
      <c r="BM34" s="82"/>
      <c r="BN34" s="86">
        <f t="shared" si="64"/>
        <v>0</v>
      </c>
      <c r="BO34" s="191"/>
      <c r="BP34" s="56"/>
      <c r="BQ34" s="56"/>
      <c r="BR34" s="184"/>
      <c r="BS34" s="184"/>
      <c r="BT34" s="190"/>
      <c r="BU34" s="86">
        <f t="shared" ref="BU34" si="88">BS34*(BT34)*60/1000000</f>
        <v>0</v>
      </c>
      <c r="BV34" s="31"/>
      <c r="BW34" s="86">
        <f t="shared" si="65"/>
        <v>0</v>
      </c>
      <c r="BX34" s="135"/>
      <c r="BY34" s="136"/>
      <c r="BZ34" s="136"/>
      <c r="CA34" s="137"/>
      <c r="CB34" s="138"/>
      <c r="CC34" s="31"/>
      <c r="CD34" s="86">
        <f t="shared" ref="CD34" si="89">CB34*(CC34)*60/1000000</f>
        <v>0</v>
      </c>
      <c r="CE34" s="52"/>
      <c r="CF34" s="86">
        <f t="shared" si="66"/>
        <v>0</v>
      </c>
      <c r="CG34" s="191"/>
      <c r="CH34" s="56"/>
      <c r="CI34" s="56"/>
      <c r="CJ34" s="184"/>
      <c r="CK34" s="184"/>
      <c r="CL34" s="190"/>
      <c r="CM34" s="86">
        <f t="shared" si="58"/>
        <v>0</v>
      </c>
      <c r="CN34" s="31"/>
      <c r="CO34" s="86">
        <f t="shared" si="67"/>
        <v>0</v>
      </c>
      <c r="CP34" s="191"/>
      <c r="CQ34" s="56"/>
      <c r="CR34" s="56"/>
      <c r="CS34" s="184"/>
      <c r="CT34" s="184"/>
      <c r="CU34" s="190"/>
      <c r="CV34" s="86">
        <f t="shared" si="59"/>
        <v>0</v>
      </c>
      <c r="CW34" s="52"/>
      <c r="CX34" s="86">
        <f t="shared" si="68"/>
        <v>0</v>
      </c>
      <c r="CY34" s="183"/>
      <c r="CZ34" s="56"/>
      <c r="DA34" s="56"/>
      <c r="DB34" s="184"/>
      <c r="DC34" s="186"/>
      <c r="DD34" s="188"/>
      <c r="DE34" s="86">
        <f t="shared" si="60"/>
        <v>0</v>
      </c>
      <c r="DF34" s="52"/>
      <c r="DG34" s="86">
        <f t="shared" si="69"/>
        <v>0</v>
      </c>
      <c r="DH34" s="253"/>
      <c r="DI34" s="253"/>
      <c r="DJ34" s="253"/>
      <c r="DK34" s="253"/>
      <c r="DL34" s="253"/>
    </row>
    <row r="35" spans="1:116" ht="13.5">
      <c r="A35" s="256" t="s">
        <v>165</v>
      </c>
      <c r="B35" s="256"/>
      <c r="C35" s="256"/>
      <c r="D35" s="45"/>
      <c r="E35" s="45"/>
      <c r="F35" s="45"/>
      <c r="G35" s="48"/>
      <c r="H35" s="48"/>
      <c r="I35" s="48"/>
      <c r="J35" s="48"/>
      <c r="K35" s="49"/>
      <c r="L35" s="50">
        <f>SUM(L23:L34)</f>
        <v>3633.5408344000002</v>
      </c>
      <c r="M35" s="45"/>
      <c r="N35" s="45"/>
      <c r="O35" s="45"/>
      <c r="P35" s="48"/>
      <c r="Q35" s="48"/>
      <c r="R35" s="48"/>
      <c r="S35" s="48"/>
      <c r="T35" s="49"/>
      <c r="U35" s="50">
        <f>SUM(U23:U34)</f>
        <v>1882.2070352000001</v>
      </c>
      <c r="V35" s="45"/>
      <c r="W35" s="45"/>
      <c r="X35" s="45"/>
      <c r="Y35" s="48"/>
      <c r="Z35" s="48"/>
      <c r="AA35" s="48"/>
      <c r="AB35" s="48"/>
      <c r="AC35" s="49"/>
      <c r="AD35" s="50">
        <f>SUM(AD23:AD34)</f>
        <v>5770.0724904000008</v>
      </c>
      <c r="AE35" s="45"/>
      <c r="AF35" s="45"/>
      <c r="AG35" s="45"/>
      <c r="AH35" s="48"/>
      <c r="AI35" s="48"/>
      <c r="AJ35" s="48"/>
      <c r="AK35" s="48"/>
      <c r="AL35" s="49"/>
      <c r="AM35" s="50">
        <f>SUM(AM23:AM34)</f>
        <v>7359.010212000001</v>
      </c>
      <c r="AN35" s="45"/>
      <c r="AO35" s="45"/>
      <c r="AP35" s="45"/>
      <c r="AQ35" s="48"/>
      <c r="AR35" s="48"/>
      <c r="AS35" s="48"/>
      <c r="AT35" s="48"/>
      <c r="AU35" s="49"/>
      <c r="AV35" s="50">
        <f>SUM(AV23:AV34)</f>
        <v>7505.8801919999996</v>
      </c>
      <c r="AW35" s="45"/>
      <c r="AX35" s="45"/>
      <c r="AY35" s="45"/>
      <c r="AZ35" s="48"/>
      <c r="BA35" s="48"/>
      <c r="BB35" s="48"/>
      <c r="BC35" s="48"/>
      <c r="BD35" s="49"/>
      <c r="BE35" s="50">
        <f>SUM(BE23:BE34)</f>
        <v>15535.124367999997</v>
      </c>
      <c r="BF35" s="45"/>
      <c r="BG35" s="45"/>
      <c r="BH35" s="45"/>
      <c r="BI35" s="48"/>
      <c r="BJ35" s="48"/>
      <c r="BK35" s="48"/>
      <c r="BL35" s="48"/>
      <c r="BM35" s="49"/>
      <c r="BN35" s="50">
        <f>SUM(BN23:BN34)</f>
        <v>17107.824348000002</v>
      </c>
      <c r="BO35" s="45"/>
      <c r="BP35" s="45"/>
      <c r="BQ35" s="45"/>
      <c r="BR35" s="48"/>
      <c r="BS35" s="48"/>
      <c r="BT35" s="48"/>
      <c r="BU35" s="48"/>
      <c r="BV35" s="49"/>
      <c r="BW35" s="50">
        <f>SUM(BW23:BW34)</f>
        <v>15181.412452000004</v>
      </c>
      <c r="BX35" s="45"/>
      <c r="BY35" s="45"/>
      <c r="BZ35" s="45"/>
      <c r="CA35" s="48"/>
      <c r="CB35" s="48"/>
      <c r="CC35" s="48"/>
      <c r="CD35" s="48"/>
      <c r="CE35" s="49"/>
      <c r="CF35" s="50">
        <f>SUM(CF23:CF34)</f>
        <v>13712.862711999998</v>
      </c>
      <c r="CG35" s="45"/>
      <c r="CH35" s="45"/>
      <c r="CI35" s="45"/>
      <c r="CJ35" s="48"/>
      <c r="CK35" s="48"/>
      <c r="CL35" s="48"/>
      <c r="CM35" s="48"/>
      <c r="CN35" s="49"/>
      <c r="CO35" s="50">
        <f>SUM(CO23:CO34)</f>
        <v>12216.173392000001</v>
      </c>
      <c r="CP35" s="45"/>
      <c r="CQ35" s="45"/>
      <c r="CR35" s="45"/>
      <c r="CS35" s="48"/>
      <c r="CT35" s="48"/>
      <c r="CU35" s="48"/>
      <c r="CV35" s="48"/>
      <c r="CW35" s="49"/>
      <c r="CX35" s="50">
        <f>SUM(CX23:CX34)</f>
        <v>13361.613960000001</v>
      </c>
      <c r="CY35" s="45"/>
      <c r="CZ35" s="45"/>
      <c r="DA35" s="45"/>
      <c r="DB35" s="48"/>
      <c r="DC35" s="48"/>
      <c r="DD35" s="48"/>
      <c r="DE35" s="48"/>
      <c r="DF35" s="49"/>
      <c r="DG35" s="50">
        <f>SUM(DG23:DG34)</f>
        <v>14588.885072000003</v>
      </c>
      <c r="DH35" s="47">
        <f>L35+U35+AD35+AM35+AV35+BE35+BN35+BW35+CF35+CO35+CX35+DG35</f>
        <v>127854.60706800001</v>
      </c>
      <c r="DI35" s="47">
        <f>L35+U35+AD35</f>
        <v>11285.820360000002</v>
      </c>
      <c r="DJ35" s="47">
        <f>AM35+AV35+BE35</f>
        <v>30400.014771999999</v>
      </c>
      <c r="DK35" s="47">
        <f>BN35+BW35+CF35</f>
        <v>46002.099512000001</v>
      </c>
      <c r="DL35" s="47">
        <f>CO35+CX35+DG35</f>
        <v>40166.672424000004</v>
      </c>
    </row>
    <row r="36" spans="1:116" s="34" customFormat="1" ht="13.5">
      <c r="A36" s="257" t="s">
        <v>236</v>
      </c>
      <c r="B36" s="257"/>
      <c r="C36" s="257"/>
      <c r="D36" s="45"/>
      <c r="E36" s="45"/>
      <c r="F36" s="45"/>
      <c r="G36" s="45"/>
      <c r="H36" s="45"/>
      <c r="I36" s="45"/>
      <c r="J36" s="45"/>
      <c r="K36" s="46"/>
      <c r="L36" s="47">
        <f>L35*1000/'[2]Production, Raw Mat'!C$3</f>
        <v>378.1026975531874</v>
      </c>
      <c r="M36" s="45"/>
      <c r="N36" s="45"/>
      <c r="O36" s="45"/>
      <c r="P36" s="45"/>
      <c r="Q36" s="45"/>
      <c r="R36" s="45"/>
      <c r="S36" s="45"/>
      <c r="T36" s="46"/>
      <c r="U36" s="47">
        <f>U35*1000/'Production, Raw Mat'!D5</f>
        <v>298.28572011765232</v>
      </c>
      <c r="V36" s="45"/>
      <c r="W36" s="45"/>
      <c r="X36" s="45"/>
      <c r="Y36" s="45"/>
      <c r="Z36" s="45"/>
      <c r="AA36" s="45"/>
      <c r="AB36" s="45"/>
      <c r="AC36" s="46"/>
      <c r="AD36" s="47">
        <f>AD35/'Production, Raw Mat'!E5*1000</f>
        <v>325.38663080087565</v>
      </c>
      <c r="AE36" s="45"/>
      <c r="AF36" s="45"/>
      <c r="AG36" s="45"/>
      <c r="AH36" s="45"/>
      <c r="AI36" s="45"/>
      <c r="AJ36" s="45"/>
      <c r="AK36" s="45"/>
      <c r="AL36" s="46"/>
      <c r="AM36" s="47">
        <f>AM35/'Production, Raw Mat'!F5*1000</f>
        <v>465.89414747293637</v>
      </c>
      <c r="AN36" s="45"/>
      <c r="AO36" s="45"/>
      <c r="AP36" s="45"/>
      <c r="AQ36" s="45"/>
      <c r="AR36" s="45"/>
      <c r="AS36" s="45"/>
      <c r="AT36" s="45"/>
      <c r="AU36" s="46"/>
      <c r="AV36" s="47">
        <f>AV35/'Production, Raw Mat'!G5*1000</f>
        <v>466.44131177595358</v>
      </c>
      <c r="AW36" s="45"/>
      <c r="AX36" s="45"/>
      <c r="AY36" s="45"/>
      <c r="AZ36" s="45"/>
      <c r="BA36" s="45"/>
      <c r="BB36" s="45"/>
      <c r="BC36" s="45"/>
      <c r="BD36" s="46"/>
      <c r="BE36" s="79">
        <f>BE35/'Production, Raw Mat'!H5*1000</f>
        <v>946.80091278556642</v>
      </c>
      <c r="BF36" s="45"/>
      <c r="BG36" s="45"/>
      <c r="BH36" s="45"/>
      <c r="BI36" s="45"/>
      <c r="BJ36" s="45"/>
      <c r="BK36" s="45"/>
      <c r="BL36" s="45"/>
      <c r="BM36" s="46"/>
      <c r="BN36" s="222">
        <f>BN35/'Production, Raw Mat'!I5*1000</f>
        <v>927.03609891062752</v>
      </c>
      <c r="BO36" s="45"/>
      <c r="BP36" s="45"/>
      <c r="BQ36" s="45"/>
      <c r="BR36" s="45"/>
      <c r="BS36" s="45"/>
      <c r="BT36" s="45"/>
      <c r="BU36" s="45"/>
      <c r="BV36" s="46"/>
      <c r="BW36" s="47">
        <f>BW35/'Production, Raw Mat'!J5*1000</f>
        <v>938.30404154224141</v>
      </c>
      <c r="BX36" s="45"/>
      <c r="BY36" s="45"/>
      <c r="BZ36" s="45"/>
      <c r="CA36" s="45"/>
      <c r="CB36" s="45"/>
      <c r="CC36" s="45"/>
      <c r="CD36" s="45"/>
      <c r="CE36" s="46"/>
      <c r="CF36" s="47">
        <f>CF35/'Production, Raw Mat'!K5*1000</f>
        <v>1129.8618657464822</v>
      </c>
      <c r="CG36" s="45"/>
      <c r="CH36" s="45"/>
      <c r="CI36" s="45"/>
      <c r="CJ36" s="45"/>
      <c r="CK36" s="45"/>
      <c r="CL36" s="45"/>
      <c r="CM36" s="45"/>
      <c r="CN36" s="46"/>
      <c r="CO36" s="47">
        <f>CO35/'Production, Raw Mat'!L5*1000</f>
        <v>980.05046194043609</v>
      </c>
      <c r="CP36" s="45"/>
      <c r="CQ36" s="45"/>
      <c r="CR36" s="45"/>
      <c r="CS36" s="45"/>
      <c r="CT36" s="45"/>
      <c r="CU36" s="45"/>
      <c r="CV36" s="45"/>
      <c r="CW36" s="46"/>
      <c r="CX36" s="47">
        <f>CX35/'Production, Raw Mat'!M3*1000</f>
        <v>1084.1817719363107</v>
      </c>
      <c r="CY36" s="45"/>
      <c r="CZ36" s="45"/>
      <c r="DA36" s="45"/>
      <c r="DB36" s="45"/>
      <c r="DC36" s="45"/>
      <c r="DD36" s="45"/>
      <c r="DE36" s="45"/>
      <c r="DF36" s="46"/>
      <c r="DG36" s="47">
        <f>DG35/'Production, Raw Mat'!N5*1000</f>
        <v>911.581055336237</v>
      </c>
      <c r="DH36" s="47">
        <f>DH35*1000/'[2]Production, Raw Mat'!O$5</f>
        <v>13304.425085674393</v>
      </c>
      <c r="DI36" s="47">
        <f>DI35*1000/'[2]Production, Raw Mat'!P$5</f>
        <v>1174.3914040589887</v>
      </c>
      <c r="DJ36" s="47" t="e">
        <f>DJ35*1000/'[2]Production, Raw Mat'!Q$5</f>
        <v>#DIV/0!</v>
      </c>
      <c r="DK36" s="47" t="e">
        <f>DK35*1000/'[2]Production, Raw Mat'!R$5</f>
        <v>#DIV/0!</v>
      </c>
      <c r="DL36" s="47" t="e">
        <f>DL35*1000/'[2]Production, Raw Mat'!S$5</f>
        <v>#DIV/0!</v>
      </c>
    </row>
    <row r="38" spans="1:116" s="36" customFormat="1" ht="14.25">
      <c r="A38" s="251" t="s">
        <v>273</v>
      </c>
      <c r="B38" s="251"/>
      <c r="C38" s="251"/>
      <c r="D38" s="251" t="s">
        <v>153</v>
      </c>
      <c r="E38" s="251"/>
      <c r="F38" s="251"/>
      <c r="G38" s="251"/>
      <c r="H38" s="251"/>
      <c r="I38" s="251"/>
      <c r="J38" s="251"/>
      <c r="K38" s="251"/>
      <c r="L38" s="251"/>
      <c r="M38" s="251" t="s">
        <v>154</v>
      </c>
      <c r="N38" s="251"/>
      <c r="O38" s="251"/>
      <c r="P38" s="251"/>
      <c r="Q38" s="251"/>
      <c r="R38" s="251"/>
      <c r="S38" s="251"/>
      <c r="T38" s="251"/>
      <c r="U38" s="251"/>
      <c r="V38" s="251" t="s">
        <v>155</v>
      </c>
      <c r="W38" s="251"/>
      <c r="X38" s="251"/>
      <c r="Y38" s="251"/>
      <c r="Z38" s="251"/>
      <c r="AA38" s="251"/>
      <c r="AB38" s="251"/>
      <c r="AC38" s="251"/>
      <c r="AD38" s="251"/>
      <c r="AE38" s="251" t="s">
        <v>156</v>
      </c>
      <c r="AF38" s="251"/>
      <c r="AG38" s="251"/>
      <c r="AH38" s="251"/>
      <c r="AI38" s="251"/>
      <c r="AJ38" s="251"/>
      <c r="AK38" s="251"/>
      <c r="AL38" s="251"/>
      <c r="AM38" s="251"/>
      <c r="AN38" s="251" t="s">
        <v>157</v>
      </c>
      <c r="AO38" s="251"/>
      <c r="AP38" s="251"/>
      <c r="AQ38" s="251"/>
      <c r="AR38" s="251"/>
      <c r="AS38" s="251"/>
      <c r="AT38" s="251"/>
      <c r="AU38" s="251"/>
      <c r="AV38" s="251"/>
      <c r="AW38" s="251" t="s">
        <v>158</v>
      </c>
      <c r="AX38" s="251"/>
      <c r="AY38" s="251"/>
      <c r="AZ38" s="251"/>
      <c r="BA38" s="251"/>
      <c r="BB38" s="251"/>
      <c r="BC38" s="251"/>
      <c r="BD38" s="251"/>
      <c r="BE38" s="251"/>
      <c r="BF38" s="251" t="s">
        <v>159</v>
      </c>
      <c r="BG38" s="251"/>
      <c r="BH38" s="251"/>
      <c r="BI38" s="251"/>
      <c r="BJ38" s="251"/>
      <c r="BK38" s="251"/>
      <c r="BL38" s="251"/>
      <c r="BM38" s="251"/>
      <c r="BN38" s="251"/>
      <c r="BO38" s="251" t="s">
        <v>160</v>
      </c>
      <c r="BP38" s="251"/>
      <c r="BQ38" s="251"/>
      <c r="BR38" s="251"/>
      <c r="BS38" s="251"/>
      <c r="BT38" s="251"/>
      <c r="BU38" s="251"/>
      <c r="BV38" s="251"/>
      <c r="BW38" s="251"/>
      <c r="BX38" s="251" t="s">
        <v>161</v>
      </c>
      <c r="BY38" s="251"/>
      <c r="BZ38" s="251"/>
      <c r="CA38" s="251"/>
      <c r="CB38" s="251"/>
      <c r="CC38" s="251"/>
      <c r="CD38" s="251"/>
      <c r="CE38" s="251"/>
      <c r="CF38" s="251"/>
      <c r="CG38" s="251" t="s">
        <v>162</v>
      </c>
      <c r="CH38" s="251"/>
      <c r="CI38" s="251"/>
      <c r="CJ38" s="251"/>
      <c r="CK38" s="251"/>
      <c r="CL38" s="251"/>
      <c r="CM38" s="251"/>
      <c r="CN38" s="251"/>
      <c r="CO38" s="251"/>
      <c r="CP38" s="251" t="s">
        <v>163</v>
      </c>
      <c r="CQ38" s="251"/>
      <c r="CR38" s="251"/>
      <c r="CS38" s="251"/>
      <c r="CT38" s="251"/>
      <c r="CU38" s="251"/>
      <c r="CV38" s="251"/>
      <c r="CW38" s="251"/>
      <c r="CX38" s="251"/>
      <c r="CY38" s="251" t="s">
        <v>164</v>
      </c>
      <c r="CZ38" s="251"/>
      <c r="DA38" s="251"/>
      <c r="DB38" s="251"/>
      <c r="DC38" s="251"/>
      <c r="DD38" s="251"/>
      <c r="DE38" s="251"/>
      <c r="DF38" s="251"/>
      <c r="DG38" s="251"/>
      <c r="DH38" s="252" t="s">
        <v>86</v>
      </c>
      <c r="DI38" s="252" t="s">
        <v>87</v>
      </c>
      <c r="DJ38" s="252" t="s">
        <v>88</v>
      </c>
      <c r="DK38" s="252" t="s">
        <v>89</v>
      </c>
      <c r="DL38" s="252" t="s">
        <v>90</v>
      </c>
    </row>
    <row r="39" spans="1:116" s="40" customFormat="1" ht="45">
      <c r="A39" s="254" t="s">
        <v>145</v>
      </c>
      <c r="B39" s="254" t="s">
        <v>146</v>
      </c>
      <c r="C39" s="209" t="s">
        <v>143</v>
      </c>
      <c r="D39" s="208" t="s">
        <v>147</v>
      </c>
      <c r="E39" s="208" t="s">
        <v>148</v>
      </c>
      <c r="F39" s="208" t="s">
        <v>230</v>
      </c>
      <c r="G39" s="209" t="s">
        <v>134</v>
      </c>
      <c r="H39" s="38" t="s">
        <v>135</v>
      </c>
      <c r="I39" s="208" t="s">
        <v>171</v>
      </c>
      <c r="J39" s="76" t="s">
        <v>172</v>
      </c>
      <c r="K39" s="208" t="s">
        <v>150</v>
      </c>
      <c r="L39" s="38" t="s">
        <v>173</v>
      </c>
      <c r="M39" s="208" t="s">
        <v>147</v>
      </c>
      <c r="N39" s="208" t="s">
        <v>148</v>
      </c>
      <c r="O39" s="208" t="s">
        <v>230</v>
      </c>
      <c r="P39" s="209" t="s">
        <v>134</v>
      </c>
      <c r="Q39" s="38" t="s">
        <v>135</v>
      </c>
      <c r="R39" s="208" t="s">
        <v>171</v>
      </c>
      <c r="S39" s="76" t="s">
        <v>172</v>
      </c>
      <c r="T39" s="208" t="s">
        <v>150</v>
      </c>
      <c r="U39" s="38" t="s">
        <v>173</v>
      </c>
      <c r="V39" s="208" t="s">
        <v>147</v>
      </c>
      <c r="W39" s="208" t="s">
        <v>148</v>
      </c>
      <c r="X39" s="208" t="s">
        <v>230</v>
      </c>
      <c r="Y39" s="209" t="s">
        <v>134</v>
      </c>
      <c r="Z39" s="38" t="s">
        <v>135</v>
      </c>
      <c r="AA39" s="208" t="s">
        <v>171</v>
      </c>
      <c r="AB39" s="76" t="s">
        <v>172</v>
      </c>
      <c r="AC39" s="208" t="s">
        <v>150</v>
      </c>
      <c r="AD39" s="38" t="s">
        <v>173</v>
      </c>
      <c r="AE39" s="208" t="s">
        <v>147</v>
      </c>
      <c r="AF39" s="208" t="s">
        <v>148</v>
      </c>
      <c r="AG39" s="208" t="s">
        <v>230</v>
      </c>
      <c r="AH39" s="209" t="s">
        <v>134</v>
      </c>
      <c r="AI39" s="38" t="s">
        <v>135</v>
      </c>
      <c r="AJ39" s="208" t="s">
        <v>171</v>
      </c>
      <c r="AK39" s="76" t="s">
        <v>172</v>
      </c>
      <c r="AL39" s="208" t="s">
        <v>150</v>
      </c>
      <c r="AM39" s="38" t="s">
        <v>173</v>
      </c>
      <c r="AN39" s="208" t="s">
        <v>147</v>
      </c>
      <c r="AO39" s="208" t="s">
        <v>148</v>
      </c>
      <c r="AP39" s="208" t="s">
        <v>230</v>
      </c>
      <c r="AQ39" s="209" t="s">
        <v>134</v>
      </c>
      <c r="AR39" s="38" t="s">
        <v>135</v>
      </c>
      <c r="AS39" s="208" t="s">
        <v>171</v>
      </c>
      <c r="AT39" s="76" t="s">
        <v>172</v>
      </c>
      <c r="AU39" s="208" t="s">
        <v>150</v>
      </c>
      <c r="AV39" s="38" t="s">
        <v>173</v>
      </c>
      <c r="AW39" s="208" t="s">
        <v>147</v>
      </c>
      <c r="AX39" s="208" t="s">
        <v>148</v>
      </c>
      <c r="AY39" s="208" t="s">
        <v>230</v>
      </c>
      <c r="AZ39" s="209" t="s">
        <v>134</v>
      </c>
      <c r="BA39" s="38" t="s">
        <v>135</v>
      </c>
      <c r="BB39" s="208" t="s">
        <v>171</v>
      </c>
      <c r="BC39" s="76" t="s">
        <v>172</v>
      </c>
      <c r="BD39" s="208" t="s">
        <v>150</v>
      </c>
      <c r="BE39" s="38" t="s">
        <v>173</v>
      </c>
      <c r="BF39" s="208" t="s">
        <v>147</v>
      </c>
      <c r="BG39" s="208" t="s">
        <v>148</v>
      </c>
      <c r="BH39" s="208" t="s">
        <v>230</v>
      </c>
      <c r="BI39" s="209" t="s">
        <v>134</v>
      </c>
      <c r="BJ39" s="38" t="s">
        <v>135</v>
      </c>
      <c r="BK39" s="208" t="s">
        <v>171</v>
      </c>
      <c r="BL39" s="76" t="s">
        <v>172</v>
      </c>
      <c r="BM39" s="208" t="s">
        <v>150</v>
      </c>
      <c r="BN39" s="38" t="s">
        <v>173</v>
      </c>
      <c r="BO39" s="208" t="s">
        <v>147</v>
      </c>
      <c r="BP39" s="208" t="s">
        <v>148</v>
      </c>
      <c r="BQ39" s="208" t="s">
        <v>230</v>
      </c>
      <c r="BR39" s="209" t="s">
        <v>134</v>
      </c>
      <c r="BS39" s="38" t="s">
        <v>135</v>
      </c>
      <c r="BT39" s="208" t="s">
        <v>171</v>
      </c>
      <c r="BU39" s="76" t="s">
        <v>172</v>
      </c>
      <c r="BV39" s="208" t="s">
        <v>150</v>
      </c>
      <c r="BW39" s="38" t="s">
        <v>173</v>
      </c>
      <c r="BX39" s="208" t="s">
        <v>147</v>
      </c>
      <c r="BY39" s="208" t="s">
        <v>148</v>
      </c>
      <c r="BZ39" s="208" t="s">
        <v>230</v>
      </c>
      <c r="CA39" s="209" t="s">
        <v>134</v>
      </c>
      <c r="CB39" s="38" t="s">
        <v>135</v>
      </c>
      <c r="CC39" s="208" t="s">
        <v>171</v>
      </c>
      <c r="CD39" s="76" t="s">
        <v>172</v>
      </c>
      <c r="CE39" s="208" t="s">
        <v>150</v>
      </c>
      <c r="CF39" s="38" t="s">
        <v>173</v>
      </c>
      <c r="CG39" s="208" t="s">
        <v>147</v>
      </c>
      <c r="CH39" s="208" t="s">
        <v>148</v>
      </c>
      <c r="CI39" s="208" t="s">
        <v>230</v>
      </c>
      <c r="CJ39" s="209" t="s">
        <v>134</v>
      </c>
      <c r="CK39" s="38" t="s">
        <v>135</v>
      </c>
      <c r="CL39" s="208" t="s">
        <v>171</v>
      </c>
      <c r="CM39" s="76" t="s">
        <v>172</v>
      </c>
      <c r="CN39" s="208" t="s">
        <v>150</v>
      </c>
      <c r="CO39" s="38" t="s">
        <v>173</v>
      </c>
      <c r="CP39" s="208" t="s">
        <v>147</v>
      </c>
      <c r="CQ39" s="208" t="s">
        <v>148</v>
      </c>
      <c r="CR39" s="208" t="s">
        <v>230</v>
      </c>
      <c r="CS39" s="209" t="s">
        <v>134</v>
      </c>
      <c r="CT39" s="38" t="s">
        <v>135</v>
      </c>
      <c r="CU39" s="208" t="s">
        <v>171</v>
      </c>
      <c r="CV39" s="76" t="s">
        <v>172</v>
      </c>
      <c r="CW39" s="208" t="s">
        <v>150</v>
      </c>
      <c r="CX39" s="38" t="s">
        <v>173</v>
      </c>
      <c r="CY39" s="208" t="s">
        <v>147</v>
      </c>
      <c r="CZ39" s="208" t="s">
        <v>148</v>
      </c>
      <c r="DA39" s="208" t="s">
        <v>230</v>
      </c>
      <c r="DB39" s="209" t="s">
        <v>134</v>
      </c>
      <c r="DC39" s="38" t="s">
        <v>135</v>
      </c>
      <c r="DD39" s="208" t="s">
        <v>171</v>
      </c>
      <c r="DE39" s="76" t="s">
        <v>172</v>
      </c>
      <c r="DF39" s="208" t="s">
        <v>150</v>
      </c>
      <c r="DG39" s="38" t="s">
        <v>173</v>
      </c>
      <c r="DH39" s="253"/>
      <c r="DI39" s="253"/>
      <c r="DJ39" s="253"/>
      <c r="DK39" s="253"/>
      <c r="DL39" s="253"/>
    </row>
    <row r="40" spans="1:116" s="44" customFormat="1" ht="14.25">
      <c r="A40" s="255"/>
      <c r="B40" s="255"/>
      <c r="C40" s="41" t="s">
        <v>138</v>
      </c>
      <c r="D40" s="41" t="s">
        <v>137</v>
      </c>
      <c r="E40" s="42" t="s">
        <v>141</v>
      </c>
      <c r="F40" s="41" t="s">
        <v>127</v>
      </c>
      <c r="G40" s="41" t="s">
        <v>139</v>
      </c>
      <c r="H40" s="43" t="s">
        <v>142</v>
      </c>
      <c r="I40" s="41" t="s">
        <v>144</v>
      </c>
      <c r="J40" s="43" t="s">
        <v>140</v>
      </c>
      <c r="K40" s="41" t="s">
        <v>152</v>
      </c>
      <c r="L40" s="43" t="s">
        <v>102</v>
      </c>
      <c r="M40" s="41" t="s">
        <v>137</v>
      </c>
      <c r="N40" s="42" t="s">
        <v>141</v>
      </c>
      <c r="O40" s="41" t="s">
        <v>127</v>
      </c>
      <c r="P40" s="41" t="s">
        <v>139</v>
      </c>
      <c r="Q40" s="43" t="s">
        <v>142</v>
      </c>
      <c r="R40" s="41" t="s">
        <v>144</v>
      </c>
      <c r="S40" s="43" t="s">
        <v>140</v>
      </c>
      <c r="T40" s="41" t="s">
        <v>152</v>
      </c>
      <c r="U40" s="43" t="s">
        <v>102</v>
      </c>
      <c r="V40" s="41" t="s">
        <v>137</v>
      </c>
      <c r="W40" s="42" t="s">
        <v>141</v>
      </c>
      <c r="X40" s="41" t="s">
        <v>127</v>
      </c>
      <c r="Y40" s="41" t="s">
        <v>139</v>
      </c>
      <c r="Z40" s="43" t="s">
        <v>142</v>
      </c>
      <c r="AA40" s="41" t="s">
        <v>144</v>
      </c>
      <c r="AB40" s="43" t="s">
        <v>140</v>
      </c>
      <c r="AC40" s="41" t="s">
        <v>152</v>
      </c>
      <c r="AD40" s="43" t="s">
        <v>102</v>
      </c>
      <c r="AE40" s="41" t="s">
        <v>137</v>
      </c>
      <c r="AF40" s="42" t="s">
        <v>141</v>
      </c>
      <c r="AG40" s="41" t="s">
        <v>127</v>
      </c>
      <c r="AH40" s="41" t="s">
        <v>139</v>
      </c>
      <c r="AI40" s="43" t="s">
        <v>142</v>
      </c>
      <c r="AJ40" s="41" t="s">
        <v>144</v>
      </c>
      <c r="AK40" s="43" t="s">
        <v>140</v>
      </c>
      <c r="AL40" s="41" t="s">
        <v>152</v>
      </c>
      <c r="AM40" s="43" t="s">
        <v>102</v>
      </c>
      <c r="AN40" s="41" t="s">
        <v>137</v>
      </c>
      <c r="AO40" s="42" t="s">
        <v>141</v>
      </c>
      <c r="AP40" s="41" t="s">
        <v>127</v>
      </c>
      <c r="AQ40" s="41" t="s">
        <v>139</v>
      </c>
      <c r="AR40" s="43" t="s">
        <v>142</v>
      </c>
      <c r="AS40" s="41" t="s">
        <v>144</v>
      </c>
      <c r="AT40" s="43" t="s">
        <v>140</v>
      </c>
      <c r="AU40" s="41" t="s">
        <v>152</v>
      </c>
      <c r="AV40" s="43" t="s">
        <v>102</v>
      </c>
      <c r="AW40" s="41" t="s">
        <v>137</v>
      </c>
      <c r="AX40" s="42" t="s">
        <v>141</v>
      </c>
      <c r="AY40" s="41" t="s">
        <v>127</v>
      </c>
      <c r="AZ40" s="41" t="s">
        <v>139</v>
      </c>
      <c r="BA40" s="43" t="s">
        <v>142</v>
      </c>
      <c r="BB40" s="41" t="s">
        <v>144</v>
      </c>
      <c r="BC40" s="43" t="s">
        <v>140</v>
      </c>
      <c r="BD40" s="41" t="s">
        <v>152</v>
      </c>
      <c r="BE40" s="43" t="s">
        <v>102</v>
      </c>
      <c r="BF40" s="41" t="s">
        <v>137</v>
      </c>
      <c r="BG40" s="42" t="s">
        <v>141</v>
      </c>
      <c r="BH40" s="41" t="s">
        <v>127</v>
      </c>
      <c r="BI40" s="41" t="s">
        <v>139</v>
      </c>
      <c r="BJ40" s="43" t="s">
        <v>142</v>
      </c>
      <c r="BK40" s="41" t="s">
        <v>144</v>
      </c>
      <c r="BL40" s="43" t="s">
        <v>140</v>
      </c>
      <c r="BM40" s="41" t="s">
        <v>152</v>
      </c>
      <c r="BN40" s="43" t="s">
        <v>102</v>
      </c>
      <c r="BO40" s="41" t="s">
        <v>137</v>
      </c>
      <c r="BP40" s="42" t="s">
        <v>141</v>
      </c>
      <c r="BQ40" s="41" t="s">
        <v>127</v>
      </c>
      <c r="BR40" s="41" t="s">
        <v>139</v>
      </c>
      <c r="BS40" s="43" t="s">
        <v>142</v>
      </c>
      <c r="BT40" s="41" t="s">
        <v>144</v>
      </c>
      <c r="BU40" s="43" t="s">
        <v>140</v>
      </c>
      <c r="BV40" s="41" t="s">
        <v>152</v>
      </c>
      <c r="BW40" s="43" t="s">
        <v>102</v>
      </c>
      <c r="BX40" s="41" t="s">
        <v>137</v>
      </c>
      <c r="BY40" s="42" t="s">
        <v>141</v>
      </c>
      <c r="BZ40" s="41" t="s">
        <v>127</v>
      </c>
      <c r="CA40" s="41" t="s">
        <v>139</v>
      </c>
      <c r="CB40" s="43" t="s">
        <v>142</v>
      </c>
      <c r="CC40" s="41" t="s">
        <v>144</v>
      </c>
      <c r="CD40" s="43" t="s">
        <v>140</v>
      </c>
      <c r="CE40" s="41" t="s">
        <v>152</v>
      </c>
      <c r="CF40" s="43" t="s">
        <v>102</v>
      </c>
      <c r="CG40" s="41" t="s">
        <v>137</v>
      </c>
      <c r="CH40" s="42" t="s">
        <v>141</v>
      </c>
      <c r="CI40" s="41" t="s">
        <v>127</v>
      </c>
      <c r="CJ40" s="41" t="s">
        <v>139</v>
      </c>
      <c r="CK40" s="43" t="s">
        <v>142</v>
      </c>
      <c r="CL40" s="41" t="s">
        <v>144</v>
      </c>
      <c r="CM40" s="43" t="s">
        <v>140</v>
      </c>
      <c r="CN40" s="41" t="s">
        <v>152</v>
      </c>
      <c r="CO40" s="43" t="s">
        <v>102</v>
      </c>
      <c r="CP40" s="41" t="s">
        <v>137</v>
      </c>
      <c r="CQ40" s="42" t="s">
        <v>141</v>
      </c>
      <c r="CR40" s="41" t="s">
        <v>127</v>
      </c>
      <c r="CS40" s="41" t="s">
        <v>139</v>
      </c>
      <c r="CT40" s="43" t="s">
        <v>142</v>
      </c>
      <c r="CU40" s="41" t="s">
        <v>144</v>
      </c>
      <c r="CV40" s="43" t="s">
        <v>140</v>
      </c>
      <c r="CW40" s="41" t="s">
        <v>152</v>
      </c>
      <c r="CX40" s="43" t="s">
        <v>102</v>
      </c>
      <c r="CY40" s="41" t="s">
        <v>137</v>
      </c>
      <c r="CZ40" s="42" t="s">
        <v>141</v>
      </c>
      <c r="DA40" s="41" t="s">
        <v>127</v>
      </c>
      <c r="DB40" s="41" t="s">
        <v>139</v>
      </c>
      <c r="DC40" s="43" t="s">
        <v>142</v>
      </c>
      <c r="DD40" s="41" t="s">
        <v>144</v>
      </c>
      <c r="DE40" s="43" t="s">
        <v>140</v>
      </c>
      <c r="DF40" s="41" t="s">
        <v>152</v>
      </c>
      <c r="DG40" s="43" t="s">
        <v>102</v>
      </c>
      <c r="DH40" s="253"/>
      <c r="DI40" s="253"/>
      <c r="DJ40" s="253"/>
      <c r="DK40" s="253"/>
      <c r="DL40" s="253"/>
    </row>
    <row r="41" spans="1:116" s="54" customFormat="1">
      <c r="A41" s="53" t="s">
        <v>279</v>
      </c>
      <c r="B41" s="53"/>
      <c r="C41" s="53">
        <f>130/100</f>
        <v>1.3</v>
      </c>
      <c r="D41" s="214" t="s">
        <v>418</v>
      </c>
      <c r="E41" s="56">
        <v>84.3</v>
      </c>
      <c r="F41" s="56"/>
      <c r="G41" s="184"/>
      <c r="H41" s="184">
        <f>85000/60</f>
        <v>1416.6666666666667</v>
      </c>
      <c r="I41" s="186">
        <v>4.4000000000000004</v>
      </c>
      <c r="J41" s="186">
        <f t="shared" ref="J41:J53" si="90">H41*(I41)*60/1000000</f>
        <v>0.37400000000000005</v>
      </c>
      <c r="K41" s="187">
        <f>19*24-4</f>
        <v>452</v>
      </c>
      <c r="L41" s="184">
        <f>J41*K41</f>
        <v>169.04800000000003</v>
      </c>
      <c r="M41" s="214" t="s">
        <v>418</v>
      </c>
      <c r="N41" s="56">
        <v>84.3</v>
      </c>
      <c r="O41" s="56"/>
      <c r="P41" s="184"/>
      <c r="Q41" s="184">
        <f>85000/60</f>
        <v>1416.6666666666667</v>
      </c>
      <c r="R41" s="186">
        <v>4.4000000000000004</v>
      </c>
      <c r="S41" s="186">
        <f t="shared" ref="S41:S53" si="91">Q41*(R41)*60/1000000</f>
        <v>0.37400000000000005</v>
      </c>
      <c r="T41" s="187">
        <v>0</v>
      </c>
      <c r="U41" s="184">
        <f>S41*T41</f>
        <v>0</v>
      </c>
      <c r="V41" s="214" t="s">
        <v>418</v>
      </c>
      <c r="W41" s="56">
        <v>84.3</v>
      </c>
      <c r="X41" s="56"/>
      <c r="Y41" s="184"/>
      <c r="Z41" s="184">
        <f>85000/60</f>
        <v>1416.6666666666667</v>
      </c>
      <c r="AA41" s="186">
        <v>4.4000000000000004</v>
      </c>
      <c r="AB41" s="186">
        <f t="shared" ref="AB41:AB53" si="92">Z41*(AA41)*60/1000000</f>
        <v>0.37400000000000005</v>
      </c>
      <c r="AC41" s="187">
        <f>27*24-55</f>
        <v>593</v>
      </c>
      <c r="AD41" s="184">
        <f>AB41*AC41</f>
        <v>221.78200000000004</v>
      </c>
      <c r="AE41" s="214" t="s">
        <v>420</v>
      </c>
      <c r="AF41" s="53">
        <v>82.3</v>
      </c>
      <c r="AG41" s="53"/>
      <c r="AH41" s="85"/>
      <c r="AI41" s="184">
        <f>85000/60</f>
        <v>1416.6666666666667</v>
      </c>
      <c r="AJ41" s="184">
        <v>4.9000000000000004</v>
      </c>
      <c r="AK41" s="86">
        <f t="shared" ref="AK41:AK53" si="93">AI41*(AJ41)*60/1000000</f>
        <v>0.41650000000000004</v>
      </c>
      <c r="AL41" s="187">
        <f>30*24-49</f>
        <v>671</v>
      </c>
      <c r="AM41" s="85">
        <f>AK41*AL41</f>
        <v>279.47150000000005</v>
      </c>
      <c r="AN41" s="214" t="s">
        <v>420</v>
      </c>
      <c r="AO41" s="53">
        <v>82.3</v>
      </c>
      <c r="AP41" s="53"/>
      <c r="AQ41" s="85"/>
      <c r="AR41" s="184">
        <f>85000/60</f>
        <v>1416.6666666666667</v>
      </c>
      <c r="AS41" s="184">
        <v>4.9000000000000004</v>
      </c>
      <c r="AT41" s="86">
        <f t="shared" ref="AT41:AT53" si="94">AR41*(AS41)*60/1000000</f>
        <v>0.41650000000000004</v>
      </c>
      <c r="AU41" s="52">
        <f>31*24-55</f>
        <v>689</v>
      </c>
      <c r="AV41" s="85">
        <f>AT41*AU41</f>
        <v>286.96850000000001</v>
      </c>
      <c r="AW41" s="214" t="s">
        <v>422</v>
      </c>
      <c r="AX41" s="53">
        <v>95.5</v>
      </c>
      <c r="AY41" s="56"/>
      <c r="AZ41" s="184"/>
      <c r="BA41" s="184">
        <f>85000/60</f>
        <v>1416.6666666666667</v>
      </c>
      <c r="BB41" s="184">
        <v>70.3</v>
      </c>
      <c r="BC41" s="86">
        <f t="shared" ref="BC41:BC49" si="95">BA41*(BB41)*60/1000000</f>
        <v>5.9755000000000003</v>
      </c>
      <c r="BD41" s="187">
        <f>30*24-47</f>
        <v>673</v>
      </c>
      <c r="BE41" s="85">
        <f>BC41*BD41</f>
        <v>4021.5115000000001</v>
      </c>
      <c r="BF41" s="214" t="s">
        <v>422</v>
      </c>
      <c r="BG41" s="53">
        <v>95.5</v>
      </c>
      <c r="BH41" s="56"/>
      <c r="BI41" s="184"/>
      <c r="BJ41" s="184">
        <f>85000/60</f>
        <v>1416.6666666666667</v>
      </c>
      <c r="BK41" s="184">
        <v>70.3</v>
      </c>
      <c r="BL41" s="86">
        <f t="shared" ref="BL41:BL53" si="96">BJ41*(BK41)*60/1000000</f>
        <v>5.9755000000000003</v>
      </c>
      <c r="BM41" s="52">
        <f>31*24-30</f>
        <v>714</v>
      </c>
      <c r="BN41" s="85">
        <f>BL41*BM41</f>
        <v>4266.5070000000005</v>
      </c>
      <c r="BO41" s="214" t="s">
        <v>422</v>
      </c>
      <c r="BP41" s="53">
        <v>95.5</v>
      </c>
      <c r="BQ41" s="56"/>
      <c r="BR41" s="184"/>
      <c r="BS41" s="184">
        <f>85000/60</f>
        <v>1416.6666666666667</v>
      </c>
      <c r="BT41" s="184">
        <v>70.3</v>
      </c>
      <c r="BU41" s="86">
        <f t="shared" ref="BU41:BU53" si="97">BS41*(BT41)*60/1000000</f>
        <v>5.9755000000000003</v>
      </c>
      <c r="BV41" s="189">
        <f>31*24-107</f>
        <v>637</v>
      </c>
      <c r="BW41" s="85">
        <f>BU41*BV41</f>
        <v>3806.3935000000001</v>
      </c>
      <c r="BX41" s="214" t="s">
        <v>422</v>
      </c>
      <c r="BY41" s="53">
        <v>95.5</v>
      </c>
      <c r="BZ41" s="56"/>
      <c r="CA41" s="184"/>
      <c r="CB41" s="184">
        <f>85000/60</f>
        <v>1416.6666666666667</v>
      </c>
      <c r="CC41" s="184">
        <v>70.3</v>
      </c>
      <c r="CD41" s="86">
        <f t="shared" ref="CD41:CD53" si="98">CB41*(CC41)*60/1000000</f>
        <v>5.9755000000000003</v>
      </c>
      <c r="CE41" s="52">
        <f>30*24-254</f>
        <v>466</v>
      </c>
      <c r="CF41" s="85">
        <f>CD41*CE41</f>
        <v>2784.5830000000001</v>
      </c>
      <c r="CG41" s="191" t="s">
        <v>423</v>
      </c>
      <c r="CH41" s="56">
        <v>96.2</v>
      </c>
      <c r="CI41" s="56"/>
      <c r="CJ41" s="184"/>
      <c r="CK41" s="184">
        <f>85000/60</f>
        <v>1416.6666666666667</v>
      </c>
      <c r="CL41" s="184">
        <v>71.599999999999994</v>
      </c>
      <c r="CM41" s="86">
        <f t="shared" ref="CM41:CM53" si="99">CK41*(CL41)*60/1000000</f>
        <v>6.0860000000000003</v>
      </c>
      <c r="CN41" s="52">
        <f>31*24-64</f>
        <v>680</v>
      </c>
      <c r="CO41" s="85">
        <f>CM41*CN41</f>
        <v>4138.4800000000005</v>
      </c>
      <c r="CP41" s="191" t="s">
        <v>423</v>
      </c>
      <c r="CQ41" s="56">
        <v>96.2</v>
      </c>
      <c r="CR41" s="56"/>
      <c r="CS41" s="184"/>
      <c r="CT41" s="184">
        <f>85000/60</f>
        <v>1416.6666666666667</v>
      </c>
      <c r="CU41" s="184">
        <v>71.599999999999994</v>
      </c>
      <c r="CV41" s="86">
        <f t="shared" ref="CV41:CV53" si="100">CT41*(CU41)*60/1000000</f>
        <v>6.0860000000000003</v>
      </c>
      <c r="CW41" s="52">
        <f>31*24-61</f>
        <v>683</v>
      </c>
      <c r="CX41" s="85">
        <f>CV41*CW41</f>
        <v>4156.7380000000003</v>
      </c>
      <c r="CY41" s="191" t="s">
        <v>423</v>
      </c>
      <c r="CZ41" s="56">
        <v>96.2</v>
      </c>
      <c r="DA41" s="56"/>
      <c r="DB41" s="184"/>
      <c r="DC41" s="184">
        <f>85000/60</f>
        <v>1416.6666666666667</v>
      </c>
      <c r="DD41" s="184">
        <v>71.599999999999994</v>
      </c>
      <c r="DE41" s="86">
        <f t="shared" ref="DE41:DE53" si="101">DC41*(DD41)*60/1000000</f>
        <v>6.0860000000000003</v>
      </c>
      <c r="DF41" s="52">
        <f>31*24-84</f>
        <v>660</v>
      </c>
      <c r="DG41" s="85">
        <f>DE41*DF41</f>
        <v>4016.76</v>
      </c>
      <c r="DH41" s="253"/>
      <c r="DI41" s="253"/>
      <c r="DJ41" s="253"/>
      <c r="DK41" s="253"/>
      <c r="DL41" s="253"/>
    </row>
    <row r="42" spans="1:116" ht="12" customHeight="1">
      <c r="A42" s="31" t="s">
        <v>280</v>
      </c>
      <c r="B42" s="31"/>
      <c r="C42" s="53">
        <f>130/100</f>
        <v>1.3</v>
      </c>
      <c r="D42" s="214" t="s">
        <v>418</v>
      </c>
      <c r="E42" s="56">
        <v>87.1</v>
      </c>
      <c r="F42" s="56"/>
      <c r="G42" s="184"/>
      <c r="H42" s="186">
        <f>85000/60</f>
        <v>1416.6666666666667</v>
      </c>
      <c r="I42" s="186">
        <v>4.5999999999999996</v>
      </c>
      <c r="J42" s="186">
        <f t="shared" si="90"/>
        <v>0.39099999999999996</v>
      </c>
      <c r="K42" s="189">
        <f>19*24-56</f>
        <v>400</v>
      </c>
      <c r="L42" s="186">
        <f t="shared" ref="L42:L53" si="102">J42*K42</f>
        <v>156.39999999999998</v>
      </c>
      <c r="M42" s="214" t="s">
        <v>418</v>
      </c>
      <c r="N42" s="56">
        <v>87.1</v>
      </c>
      <c r="O42" s="56"/>
      <c r="P42" s="184"/>
      <c r="Q42" s="186">
        <f>85000/60</f>
        <v>1416.6666666666667</v>
      </c>
      <c r="R42" s="186">
        <v>4.5999999999999996</v>
      </c>
      <c r="S42" s="186">
        <f t="shared" si="91"/>
        <v>0.39099999999999996</v>
      </c>
      <c r="T42" s="190">
        <v>424</v>
      </c>
      <c r="U42" s="186">
        <f t="shared" ref="U42:U53" si="103">S42*T42</f>
        <v>165.78399999999999</v>
      </c>
      <c r="V42" s="214" t="s">
        <v>418</v>
      </c>
      <c r="W42" s="56">
        <v>87.1</v>
      </c>
      <c r="X42" s="56"/>
      <c r="Y42" s="184"/>
      <c r="Z42" s="186">
        <f>85000/60</f>
        <v>1416.6666666666667</v>
      </c>
      <c r="AA42" s="186">
        <v>4.5999999999999996</v>
      </c>
      <c r="AB42" s="186">
        <f t="shared" si="92"/>
        <v>0.39099999999999996</v>
      </c>
      <c r="AC42" s="190">
        <f>31*24-90</f>
        <v>654</v>
      </c>
      <c r="AD42" s="186">
        <f t="shared" ref="AD42:AD53" si="104">AB42*AC42</f>
        <v>255.71399999999997</v>
      </c>
      <c r="AE42" s="214" t="s">
        <v>420</v>
      </c>
      <c r="AF42" s="53">
        <v>71.900000000000006</v>
      </c>
      <c r="AG42" s="53"/>
      <c r="AH42" s="85"/>
      <c r="AI42" s="186">
        <f>85000/60</f>
        <v>1416.6666666666667</v>
      </c>
      <c r="AJ42" s="186">
        <v>4.5999999999999996</v>
      </c>
      <c r="AK42" s="86">
        <f t="shared" si="93"/>
        <v>0.39099999999999996</v>
      </c>
      <c r="AL42" s="187">
        <f>30*24-245</f>
        <v>475</v>
      </c>
      <c r="AM42" s="86">
        <f t="shared" ref="AM42:AM53" si="105">AK42*AL42</f>
        <v>185.72499999999999</v>
      </c>
      <c r="AN42" s="214" t="s">
        <v>420</v>
      </c>
      <c r="AO42" s="53">
        <v>71.900000000000006</v>
      </c>
      <c r="AP42" s="53"/>
      <c r="AQ42" s="85"/>
      <c r="AR42" s="186">
        <f>85000/60</f>
        <v>1416.6666666666667</v>
      </c>
      <c r="AS42" s="186">
        <v>4.5999999999999996</v>
      </c>
      <c r="AT42" s="86">
        <f t="shared" si="94"/>
        <v>0.39099999999999996</v>
      </c>
      <c r="AU42" s="31">
        <f>31*24-244.3</f>
        <v>499.7</v>
      </c>
      <c r="AV42" s="86">
        <f t="shared" ref="AV42:AV53" si="106">AT42*AU42</f>
        <v>195.38269999999997</v>
      </c>
      <c r="AW42" s="214" t="s">
        <v>422</v>
      </c>
      <c r="AX42" s="53">
        <v>94.1</v>
      </c>
      <c r="AY42" s="56"/>
      <c r="AZ42" s="184"/>
      <c r="BA42" s="186">
        <f>85000/60</f>
        <v>1416.6666666666667</v>
      </c>
      <c r="BB42" s="186">
        <v>68.7</v>
      </c>
      <c r="BC42" s="86">
        <f t="shared" si="95"/>
        <v>5.839500000000001</v>
      </c>
      <c r="BD42" s="190">
        <f>30*24-206.4</f>
        <v>513.6</v>
      </c>
      <c r="BE42" s="86">
        <f t="shared" ref="BE42:BE53" si="107">BC42*BD42</f>
        <v>2999.1672000000008</v>
      </c>
      <c r="BF42" s="214" t="s">
        <v>422</v>
      </c>
      <c r="BG42" s="53">
        <v>94.1</v>
      </c>
      <c r="BH42" s="56"/>
      <c r="BI42" s="184"/>
      <c r="BJ42" s="186">
        <f>85000/60</f>
        <v>1416.6666666666667</v>
      </c>
      <c r="BK42" s="186">
        <v>68.7</v>
      </c>
      <c r="BL42" s="86">
        <f t="shared" si="96"/>
        <v>5.839500000000001</v>
      </c>
      <c r="BM42" s="52">
        <f>31*24-133</f>
        <v>611</v>
      </c>
      <c r="BN42" s="86">
        <f t="shared" ref="BN42:BN53" si="108">BL42*BM42</f>
        <v>3567.9345000000008</v>
      </c>
      <c r="BO42" s="214" t="s">
        <v>422</v>
      </c>
      <c r="BP42" s="53">
        <v>94.1</v>
      </c>
      <c r="BQ42" s="56"/>
      <c r="BR42" s="184"/>
      <c r="BS42" s="186">
        <f>85000/60</f>
        <v>1416.6666666666667</v>
      </c>
      <c r="BT42" s="186">
        <v>68.7</v>
      </c>
      <c r="BU42" s="86">
        <f t="shared" si="97"/>
        <v>5.839500000000001</v>
      </c>
      <c r="BV42" s="190">
        <f>31*24-213</f>
        <v>531</v>
      </c>
      <c r="BW42" s="86">
        <f t="shared" ref="BW42:BW53" si="109">BU42*BV42</f>
        <v>3100.7745000000004</v>
      </c>
      <c r="BX42" s="214" t="s">
        <v>422</v>
      </c>
      <c r="BY42" s="53">
        <v>94.1</v>
      </c>
      <c r="BZ42" s="56"/>
      <c r="CA42" s="184"/>
      <c r="CB42" s="186">
        <f>85000/60</f>
        <v>1416.6666666666667</v>
      </c>
      <c r="CC42" s="186">
        <v>68.7</v>
      </c>
      <c r="CD42" s="86">
        <f t="shared" si="98"/>
        <v>5.839500000000001</v>
      </c>
      <c r="CE42" s="52">
        <f>30*24-99</f>
        <v>621</v>
      </c>
      <c r="CF42" s="86">
        <f t="shared" ref="CF42:CF53" si="110">CD42*CE42</f>
        <v>3626.3295000000007</v>
      </c>
      <c r="CG42" s="191" t="s">
        <v>423</v>
      </c>
      <c r="CH42" s="56">
        <v>95.1</v>
      </c>
      <c r="CI42" s="56"/>
      <c r="CJ42" s="184"/>
      <c r="CK42" s="186">
        <f>85000/60</f>
        <v>1416.6666666666667</v>
      </c>
      <c r="CL42" s="186">
        <v>67.900000000000006</v>
      </c>
      <c r="CM42" s="86">
        <f t="shared" si="99"/>
        <v>5.7715000000000005</v>
      </c>
      <c r="CN42" s="31">
        <f>31*24-544</f>
        <v>200</v>
      </c>
      <c r="CO42" s="86">
        <f t="shared" ref="CO42:CO53" si="111">CM42*CN42</f>
        <v>1154.3000000000002</v>
      </c>
      <c r="CP42" s="191" t="s">
        <v>423</v>
      </c>
      <c r="CQ42" s="56">
        <v>95.1</v>
      </c>
      <c r="CR42" s="56"/>
      <c r="CS42" s="184"/>
      <c r="CT42" s="186">
        <f>85000/60</f>
        <v>1416.6666666666667</v>
      </c>
      <c r="CU42" s="186">
        <v>67.900000000000006</v>
      </c>
      <c r="CV42" s="86">
        <f t="shared" si="100"/>
        <v>5.7715000000000005</v>
      </c>
      <c r="CW42" s="52">
        <f>30*24-360</f>
        <v>360</v>
      </c>
      <c r="CX42" s="86">
        <f t="shared" ref="CX42:CX53" si="112">CV42*CW42</f>
        <v>2077.7400000000002</v>
      </c>
      <c r="CY42" s="191" t="s">
        <v>423</v>
      </c>
      <c r="CZ42" s="56">
        <v>95.1</v>
      </c>
      <c r="DA42" s="56"/>
      <c r="DB42" s="184"/>
      <c r="DC42" s="186">
        <f>85000/60</f>
        <v>1416.6666666666667</v>
      </c>
      <c r="DD42" s="186">
        <v>67.900000000000006</v>
      </c>
      <c r="DE42" s="86">
        <f t="shared" si="101"/>
        <v>5.7715000000000005</v>
      </c>
      <c r="DF42" s="52">
        <f>31*24-308</f>
        <v>436</v>
      </c>
      <c r="DG42" s="86">
        <f t="shared" ref="DG42:DG53" si="113">DE42*DF42</f>
        <v>2516.3740000000003</v>
      </c>
      <c r="DH42" s="253"/>
      <c r="DI42" s="253"/>
      <c r="DJ42" s="253"/>
      <c r="DK42" s="253"/>
      <c r="DL42" s="253"/>
    </row>
    <row r="43" spans="1:116" ht="12" customHeight="1">
      <c r="A43" s="53" t="s">
        <v>281</v>
      </c>
      <c r="B43" s="31"/>
      <c r="C43" s="53">
        <v>0.8</v>
      </c>
      <c r="D43" s="214" t="s">
        <v>418</v>
      </c>
      <c r="E43" s="56">
        <v>153.19999999999999</v>
      </c>
      <c r="F43" s="56"/>
      <c r="G43" s="184"/>
      <c r="H43" s="186">
        <f>10400/60</f>
        <v>173.33333333333334</v>
      </c>
      <c r="I43" s="186">
        <v>5.0999999999999996</v>
      </c>
      <c r="J43" s="186">
        <f t="shared" si="90"/>
        <v>5.3039999999999997E-2</v>
      </c>
      <c r="K43" s="189">
        <f>16*24</f>
        <v>384</v>
      </c>
      <c r="L43" s="186">
        <f t="shared" si="102"/>
        <v>20.367359999999998</v>
      </c>
      <c r="M43" s="214" t="s">
        <v>418</v>
      </c>
      <c r="N43" s="56">
        <v>153.19999999999999</v>
      </c>
      <c r="O43" s="56"/>
      <c r="P43" s="184"/>
      <c r="Q43" s="186">
        <f>10400/60</f>
        <v>173.33333333333334</v>
      </c>
      <c r="R43" s="186">
        <v>5.0999999999999996</v>
      </c>
      <c r="S43" s="186">
        <f t="shared" si="91"/>
        <v>5.3039999999999997E-2</v>
      </c>
      <c r="T43" s="187">
        <f>13*24+16</f>
        <v>328</v>
      </c>
      <c r="U43" s="186">
        <f t="shared" si="103"/>
        <v>17.397119999999997</v>
      </c>
      <c r="V43" s="214" t="s">
        <v>418</v>
      </c>
      <c r="W43" s="56">
        <v>153.19999999999999</v>
      </c>
      <c r="X43" s="56"/>
      <c r="Y43" s="184"/>
      <c r="Z43" s="186">
        <f>10400/60</f>
        <v>173.33333333333334</v>
      </c>
      <c r="AA43" s="186">
        <v>5.0999999999999996</v>
      </c>
      <c r="AB43" s="186">
        <f t="shared" si="92"/>
        <v>5.3039999999999997E-2</v>
      </c>
      <c r="AC43" s="190">
        <f>31*24</f>
        <v>744</v>
      </c>
      <c r="AD43" s="186">
        <f t="shared" si="104"/>
        <v>39.461759999999998</v>
      </c>
      <c r="AE43" s="214" t="s">
        <v>420</v>
      </c>
      <c r="AF43" s="53">
        <v>130</v>
      </c>
      <c r="AG43" s="53"/>
      <c r="AH43" s="85"/>
      <c r="AI43" s="186">
        <f>10900/60</f>
        <v>181.66666666666666</v>
      </c>
      <c r="AJ43" s="190">
        <v>5.3</v>
      </c>
      <c r="AK43" s="86">
        <f t="shared" si="93"/>
        <v>5.7769999999999995E-2</v>
      </c>
      <c r="AL43" s="187">
        <f>30*24</f>
        <v>720</v>
      </c>
      <c r="AM43" s="86">
        <f t="shared" si="105"/>
        <v>41.594399999999993</v>
      </c>
      <c r="AN43" s="214" t="s">
        <v>420</v>
      </c>
      <c r="AO43" s="53">
        <v>130</v>
      </c>
      <c r="AP43" s="53"/>
      <c r="AQ43" s="85"/>
      <c r="AR43" s="186">
        <f>10900/60</f>
        <v>181.66666666666666</v>
      </c>
      <c r="AS43" s="190">
        <v>5.3</v>
      </c>
      <c r="AT43" s="86">
        <f t="shared" si="94"/>
        <v>5.7769999999999995E-2</v>
      </c>
      <c r="AU43" s="31">
        <f>31*24</f>
        <v>744</v>
      </c>
      <c r="AV43" s="86">
        <f t="shared" si="106"/>
        <v>42.980879999999999</v>
      </c>
      <c r="AW43" s="214" t="s">
        <v>422</v>
      </c>
      <c r="AX43" s="53">
        <v>119.3</v>
      </c>
      <c r="AY43" s="56"/>
      <c r="AZ43" s="184"/>
      <c r="BA43" s="186">
        <f>10900/60</f>
        <v>181.66666666666666</v>
      </c>
      <c r="BB43" s="190">
        <v>71.400000000000006</v>
      </c>
      <c r="BC43" s="86">
        <f t="shared" si="95"/>
        <v>0.77825999999999995</v>
      </c>
      <c r="BD43" s="190">
        <f>30*24</f>
        <v>720</v>
      </c>
      <c r="BE43" s="86">
        <f t="shared" si="107"/>
        <v>560.34719999999993</v>
      </c>
      <c r="BF43" s="214" t="s">
        <v>422</v>
      </c>
      <c r="BG43" s="53">
        <v>119.3</v>
      </c>
      <c r="BH43" s="56"/>
      <c r="BI43" s="184"/>
      <c r="BJ43" s="186">
        <f>10900/60</f>
        <v>181.66666666666666</v>
      </c>
      <c r="BK43" s="190">
        <v>71.400000000000006</v>
      </c>
      <c r="BL43" s="86">
        <f t="shared" si="96"/>
        <v>0.77825999999999995</v>
      </c>
      <c r="BM43" s="52">
        <f>31*24</f>
        <v>744</v>
      </c>
      <c r="BN43" s="86">
        <f t="shared" si="108"/>
        <v>579.02544</v>
      </c>
      <c r="BO43" s="214" t="s">
        <v>422</v>
      </c>
      <c r="BP43" s="53">
        <v>119.3</v>
      </c>
      <c r="BQ43" s="56"/>
      <c r="BR43" s="184"/>
      <c r="BS43" s="186">
        <f>10900/60</f>
        <v>181.66666666666666</v>
      </c>
      <c r="BT43" s="190">
        <v>71.400000000000006</v>
      </c>
      <c r="BU43" s="86">
        <f t="shared" si="97"/>
        <v>0.77825999999999995</v>
      </c>
      <c r="BV43" s="190">
        <f>31*24</f>
        <v>744</v>
      </c>
      <c r="BW43" s="86">
        <f t="shared" si="109"/>
        <v>579.02544</v>
      </c>
      <c r="BX43" s="214" t="s">
        <v>422</v>
      </c>
      <c r="BY43" s="53">
        <v>119.3</v>
      </c>
      <c r="BZ43" s="56"/>
      <c r="CA43" s="184"/>
      <c r="CB43" s="186">
        <f>10900/60</f>
        <v>181.66666666666666</v>
      </c>
      <c r="CC43" s="190">
        <v>71.400000000000006</v>
      </c>
      <c r="CD43" s="86">
        <f t="shared" si="98"/>
        <v>0.77825999999999995</v>
      </c>
      <c r="CE43" s="52">
        <f>30*24</f>
        <v>720</v>
      </c>
      <c r="CF43" s="86">
        <f t="shared" si="110"/>
        <v>560.34719999999993</v>
      </c>
      <c r="CG43" s="191" t="s">
        <v>423</v>
      </c>
      <c r="CH43" s="56">
        <v>121.5</v>
      </c>
      <c r="CI43" s="56"/>
      <c r="CJ43" s="184"/>
      <c r="CK43" s="186">
        <f>9240/60</f>
        <v>154</v>
      </c>
      <c r="CL43" s="190">
        <v>72.7</v>
      </c>
      <c r="CM43" s="86">
        <f t="shared" si="99"/>
        <v>0.67174800000000012</v>
      </c>
      <c r="CN43" s="31">
        <f>31*24</f>
        <v>744</v>
      </c>
      <c r="CO43" s="86">
        <f t="shared" si="111"/>
        <v>499.7805120000001</v>
      </c>
      <c r="CP43" s="191" t="s">
        <v>423</v>
      </c>
      <c r="CQ43" s="56">
        <v>121.5</v>
      </c>
      <c r="CR43" s="56"/>
      <c r="CS43" s="184"/>
      <c r="CT43" s="186">
        <f>9240/60</f>
        <v>154</v>
      </c>
      <c r="CU43" s="190">
        <v>72.7</v>
      </c>
      <c r="CV43" s="86">
        <f t="shared" si="100"/>
        <v>0.67174800000000012</v>
      </c>
      <c r="CW43" s="52">
        <f>30*24</f>
        <v>720</v>
      </c>
      <c r="CX43" s="86">
        <f t="shared" si="112"/>
        <v>483.65856000000008</v>
      </c>
      <c r="CY43" s="191" t="s">
        <v>423</v>
      </c>
      <c r="CZ43" s="56">
        <v>121.5</v>
      </c>
      <c r="DA43" s="56"/>
      <c r="DB43" s="184"/>
      <c r="DC43" s="186">
        <f>9240/60</f>
        <v>154</v>
      </c>
      <c r="DD43" s="190">
        <v>72.7</v>
      </c>
      <c r="DE43" s="86">
        <f t="shared" si="101"/>
        <v>0.67174800000000012</v>
      </c>
      <c r="DF43" s="52">
        <f>31*24</f>
        <v>744</v>
      </c>
      <c r="DG43" s="86">
        <f t="shared" si="113"/>
        <v>499.7805120000001</v>
      </c>
      <c r="DH43" s="253"/>
      <c r="DI43" s="253"/>
      <c r="DJ43" s="253"/>
      <c r="DK43" s="253"/>
      <c r="DL43" s="253"/>
    </row>
    <row r="44" spans="1:116" ht="12" customHeight="1">
      <c r="A44" s="31" t="s">
        <v>282</v>
      </c>
      <c r="B44" s="31"/>
      <c r="C44" s="53">
        <v>0.8</v>
      </c>
      <c r="D44" s="214" t="s">
        <v>418</v>
      </c>
      <c r="E44" s="56">
        <v>159.1</v>
      </c>
      <c r="F44" s="56"/>
      <c r="G44" s="184"/>
      <c r="H44" s="186">
        <f>11300/60</f>
        <v>188.33333333333334</v>
      </c>
      <c r="I44" s="186">
        <v>4.5999999999999996</v>
      </c>
      <c r="J44" s="186">
        <f t="shared" si="90"/>
        <v>5.1979999999999991E-2</v>
      </c>
      <c r="K44" s="189">
        <f>17*24+8</f>
        <v>416</v>
      </c>
      <c r="L44" s="186">
        <f t="shared" si="102"/>
        <v>21.623679999999997</v>
      </c>
      <c r="M44" s="214" t="s">
        <v>418</v>
      </c>
      <c r="N44" s="56">
        <v>159.1</v>
      </c>
      <c r="O44" s="56"/>
      <c r="P44" s="184"/>
      <c r="Q44" s="186">
        <f>11300/60</f>
        <v>188.33333333333334</v>
      </c>
      <c r="R44" s="186">
        <v>4.5999999999999996</v>
      </c>
      <c r="S44" s="186">
        <f t="shared" si="91"/>
        <v>5.1979999999999991E-2</v>
      </c>
      <c r="T44" s="187">
        <f>18*24+16</f>
        <v>448</v>
      </c>
      <c r="U44" s="186">
        <f t="shared" si="103"/>
        <v>23.287039999999998</v>
      </c>
      <c r="V44" s="214" t="s">
        <v>418</v>
      </c>
      <c r="W44" s="56">
        <v>159.1</v>
      </c>
      <c r="X44" s="56"/>
      <c r="Y44" s="184"/>
      <c r="Z44" s="186">
        <f>11300/60</f>
        <v>188.33333333333334</v>
      </c>
      <c r="AA44" s="186">
        <v>4.5999999999999996</v>
      </c>
      <c r="AB44" s="186">
        <f t="shared" si="92"/>
        <v>5.1979999999999991E-2</v>
      </c>
      <c r="AC44" s="190">
        <f>31*24</f>
        <v>744</v>
      </c>
      <c r="AD44" s="186">
        <f t="shared" si="104"/>
        <v>38.67311999999999</v>
      </c>
      <c r="AE44" s="214" t="s">
        <v>420</v>
      </c>
      <c r="AF44" s="53">
        <v>120.1</v>
      </c>
      <c r="AG44" s="53"/>
      <c r="AH44" s="85"/>
      <c r="AI44" s="186">
        <f>11200/60</f>
        <v>186.66666666666666</v>
      </c>
      <c r="AJ44" s="190">
        <v>5.6</v>
      </c>
      <c r="AK44" s="86">
        <f t="shared" si="93"/>
        <v>6.2719999999999998E-2</v>
      </c>
      <c r="AL44" s="187">
        <f t="shared" ref="AL44:AL49" si="114">30*24</f>
        <v>720</v>
      </c>
      <c r="AM44" s="86">
        <f t="shared" si="105"/>
        <v>45.1584</v>
      </c>
      <c r="AN44" s="214" t="s">
        <v>420</v>
      </c>
      <c r="AO44" s="53">
        <v>120.1</v>
      </c>
      <c r="AP44" s="53"/>
      <c r="AQ44" s="85"/>
      <c r="AR44" s="186">
        <f>11200/60</f>
        <v>186.66666666666666</v>
      </c>
      <c r="AS44" s="190">
        <v>5.6</v>
      </c>
      <c r="AT44" s="86">
        <f t="shared" si="94"/>
        <v>6.2719999999999998E-2</v>
      </c>
      <c r="AU44" s="31">
        <f t="shared" ref="AU44:AU49" si="115">31*24</f>
        <v>744</v>
      </c>
      <c r="AV44" s="86">
        <f t="shared" si="106"/>
        <v>46.663679999999999</v>
      </c>
      <c r="AW44" s="214" t="s">
        <v>422</v>
      </c>
      <c r="AX44" s="53">
        <v>120.6</v>
      </c>
      <c r="AY44" s="56"/>
      <c r="AZ44" s="184"/>
      <c r="BA44" s="186">
        <f>11200/60</f>
        <v>186.66666666666666</v>
      </c>
      <c r="BB44" s="190">
        <v>69.5</v>
      </c>
      <c r="BC44" s="86">
        <f t="shared" si="95"/>
        <v>0.77839999999999987</v>
      </c>
      <c r="BD44" s="190">
        <f t="shared" ref="BD44:BD49" si="116">30*24</f>
        <v>720</v>
      </c>
      <c r="BE44" s="86">
        <f t="shared" si="107"/>
        <v>560.44799999999987</v>
      </c>
      <c r="BF44" s="214" t="s">
        <v>422</v>
      </c>
      <c r="BG44" s="53">
        <v>120.6</v>
      </c>
      <c r="BH44" s="56"/>
      <c r="BI44" s="184"/>
      <c r="BJ44" s="186">
        <f>11200/60</f>
        <v>186.66666666666666</v>
      </c>
      <c r="BK44" s="190">
        <v>69.5</v>
      </c>
      <c r="BL44" s="86">
        <f t="shared" si="96"/>
        <v>0.77839999999999987</v>
      </c>
      <c r="BM44" s="52">
        <f t="shared" ref="BM44:BM49" si="117">31*24</f>
        <v>744</v>
      </c>
      <c r="BN44" s="86">
        <f t="shared" si="108"/>
        <v>579.12959999999987</v>
      </c>
      <c r="BO44" s="214" t="s">
        <v>422</v>
      </c>
      <c r="BP44" s="53">
        <v>120.6</v>
      </c>
      <c r="BQ44" s="56"/>
      <c r="BR44" s="184"/>
      <c r="BS44" s="186">
        <f>11200/60</f>
        <v>186.66666666666666</v>
      </c>
      <c r="BT44" s="190">
        <v>69.5</v>
      </c>
      <c r="BU44" s="86">
        <f t="shared" si="97"/>
        <v>0.77839999999999987</v>
      </c>
      <c r="BV44" s="190">
        <f t="shared" ref="BV44:BV49" si="118">31*24</f>
        <v>744</v>
      </c>
      <c r="BW44" s="86">
        <f t="shared" si="109"/>
        <v>579.12959999999987</v>
      </c>
      <c r="BX44" s="214" t="s">
        <v>422</v>
      </c>
      <c r="BY44" s="53">
        <v>120.6</v>
      </c>
      <c r="BZ44" s="56"/>
      <c r="CA44" s="184"/>
      <c r="CB44" s="186">
        <f>11200/60</f>
        <v>186.66666666666666</v>
      </c>
      <c r="CC44" s="190">
        <v>69.5</v>
      </c>
      <c r="CD44" s="86">
        <f t="shared" si="98"/>
        <v>0.77839999999999987</v>
      </c>
      <c r="CE44" s="52">
        <f>30*24</f>
        <v>720</v>
      </c>
      <c r="CF44" s="86">
        <f t="shared" si="110"/>
        <v>560.44799999999987</v>
      </c>
      <c r="CG44" s="191" t="s">
        <v>423</v>
      </c>
      <c r="CH44" s="56">
        <v>122.7</v>
      </c>
      <c r="CI44" s="56"/>
      <c r="CJ44" s="184"/>
      <c r="CK44" s="186">
        <f>9500/60</f>
        <v>158.33333333333334</v>
      </c>
      <c r="CL44" s="190">
        <v>68.900000000000006</v>
      </c>
      <c r="CM44" s="86">
        <f t="shared" si="99"/>
        <v>0.65455000000000008</v>
      </c>
      <c r="CN44" s="31">
        <f t="shared" ref="CN44:CN48" si="119">31*24</f>
        <v>744</v>
      </c>
      <c r="CO44" s="86">
        <f t="shared" si="111"/>
        <v>486.98520000000008</v>
      </c>
      <c r="CP44" s="191" t="s">
        <v>423</v>
      </c>
      <c r="CQ44" s="56">
        <v>122.7</v>
      </c>
      <c r="CR44" s="56"/>
      <c r="CS44" s="184"/>
      <c r="CT44" s="186">
        <f>9500/60</f>
        <v>158.33333333333334</v>
      </c>
      <c r="CU44" s="190">
        <v>68.900000000000006</v>
      </c>
      <c r="CV44" s="86">
        <f t="shared" si="100"/>
        <v>0.65455000000000008</v>
      </c>
      <c r="CW44" s="52">
        <f t="shared" ref="CW44:CW48" si="120">30*24</f>
        <v>720</v>
      </c>
      <c r="CX44" s="86">
        <f t="shared" si="112"/>
        <v>471.27600000000007</v>
      </c>
      <c r="CY44" s="191" t="s">
        <v>423</v>
      </c>
      <c r="CZ44" s="56">
        <v>122.7</v>
      </c>
      <c r="DA44" s="56"/>
      <c r="DB44" s="184"/>
      <c r="DC44" s="186">
        <f>9500/60</f>
        <v>158.33333333333334</v>
      </c>
      <c r="DD44" s="190">
        <v>68.900000000000006</v>
      </c>
      <c r="DE44" s="86">
        <f t="shared" si="101"/>
        <v>0.65455000000000008</v>
      </c>
      <c r="DF44" s="52">
        <f t="shared" ref="DF44" si="121">31*24</f>
        <v>744</v>
      </c>
      <c r="DG44" s="86">
        <f t="shared" si="113"/>
        <v>486.98520000000008</v>
      </c>
      <c r="DH44" s="253"/>
      <c r="DI44" s="253"/>
      <c r="DJ44" s="253"/>
      <c r="DK44" s="253"/>
      <c r="DL44" s="253"/>
    </row>
    <row r="45" spans="1:116" ht="12" customHeight="1">
      <c r="A45" s="31" t="s">
        <v>283</v>
      </c>
      <c r="B45" s="31"/>
      <c r="C45" s="53">
        <v>0.8</v>
      </c>
      <c r="D45" s="214" t="s">
        <v>418</v>
      </c>
      <c r="E45" s="190">
        <v>146.5</v>
      </c>
      <c r="F45" s="56"/>
      <c r="G45" s="184"/>
      <c r="H45" s="186">
        <f>10530/60</f>
        <v>175.5</v>
      </c>
      <c r="I45" s="186">
        <v>4.8</v>
      </c>
      <c r="J45" s="186">
        <f t="shared" si="90"/>
        <v>5.0543999999999999E-2</v>
      </c>
      <c r="K45" s="189">
        <f>17*24+16</f>
        <v>424</v>
      </c>
      <c r="L45" s="186">
        <f t="shared" si="102"/>
        <v>21.430655999999999</v>
      </c>
      <c r="M45" s="214" t="s">
        <v>418</v>
      </c>
      <c r="N45" s="190">
        <v>146.5</v>
      </c>
      <c r="O45" s="56"/>
      <c r="P45" s="184"/>
      <c r="Q45" s="186">
        <f>10530/60</f>
        <v>175.5</v>
      </c>
      <c r="R45" s="186">
        <v>4.8</v>
      </c>
      <c r="S45" s="186">
        <f t="shared" si="91"/>
        <v>5.0543999999999999E-2</v>
      </c>
      <c r="T45" s="187">
        <v>0</v>
      </c>
      <c r="U45" s="186">
        <f t="shared" si="103"/>
        <v>0</v>
      </c>
      <c r="V45" s="214" t="s">
        <v>418</v>
      </c>
      <c r="W45" s="190">
        <v>146.5</v>
      </c>
      <c r="X45" s="56"/>
      <c r="Y45" s="184"/>
      <c r="Z45" s="186">
        <f>10530/60</f>
        <v>175.5</v>
      </c>
      <c r="AA45" s="186">
        <v>4.8</v>
      </c>
      <c r="AB45" s="186">
        <f t="shared" si="92"/>
        <v>5.0543999999999999E-2</v>
      </c>
      <c r="AC45" s="190">
        <f>26*24</f>
        <v>624</v>
      </c>
      <c r="AD45" s="186">
        <f t="shared" si="104"/>
        <v>31.539455999999998</v>
      </c>
      <c r="AE45" s="214" t="s">
        <v>420</v>
      </c>
      <c r="AF45" s="53">
        <v>145.9</v>
      </c>
      <c r="AG45" s="53"/>
      <c r="AH45" s="85"/>
      <c r="AI45" s="186">
        <f>10500/60</f>
        <v>175</v>
      </c>
      <c r="AJ45" s="190">
        <v>5.8</v>
      </c>
      <c r="AK45" s="86">
        <f t="shared" si="93"/>
        <v>6.0900000000000003E-2</v>
      </c>
      <c r="AL45" s="187">
        <f t="shared" si="114"/>
        <v>720</v>
      </c>
      <c r="AM45" s="86">
        <f t="shared" si="105"/>
        <v>43.847999999999999</v>
      </c>
      <c r="AN45" s="214" t="s">
        <v>420</v>
      </c>
      <c r="AO45" s="53">
        <v>145.9</v>
      </c>
      <c r="AP45" s="53"/>
      <c r="AQ45" s="85"/>
      <c r="AR45" s="186">
        <f>10500/60</f>
        <v>175</v>
      </c>
      <c r="AS45" s="190">
        <v>5.8</v>
      </c>
      <c r="AT45" s="86">
        <f t="shared" si="94"/>
        <v>6.0900000000000003E-2</v>
      </c>
      <c r="AU45" s="31">
        <f t="shared" si="115"/>
        <v>744</v>
      </c>
      <c r="AV45" s="86">
        <f t="shared" si="106"/>
        <v>45.309600000000003</v>
      </c>
      <c r="AW45" s="214" t="s">
        <v>422</v>
      </c>
      <c r="AX45" s="53">
        <v>117.5</v>
      </c>
      <c r="AY45" s="56"/>
      <c r="AZ45" s="184"/>
      <c r="BA45" s="186">
        <f>10500/60</f>
        <v>175</v>
      </c>
      <c r="BB45" s="190">
        <v>68.3</v>
      </c>
      <c r="BC45" s="86">
        <f t="shared" si="95"/>
        <v>0.71714999999999995</v>
      </c>
      <c r="BD45" s="190">
        <f t="shared" si="116"/>
        <v>720</v>
      </c>
      <c r="BE45" s="86">
        <f t="shared" si="107"/>
        <v>516.34799999999996</v>
      </c>
      <c r="BF45" s="214" t="s">
        <v>422</v>
      </c>
      <c r="BG45" s="53">
        <v>117.5</v>
      </c>
      <c r="BH45" s="56"/>
      <c r="BI45" s="184"/>
      <c r="BJ45" s="186">
        <f>10500/60</f>
        <v>175</v>
      </c>
      <c r="BK45" s="190">
        <v>68.3</v>
      </c>
      <c r="BL45" s="86">
        <f t="shared" si="96"/>
        <v>0.71714999999999995</v>
      </c>
      <c r="BM45" s="52">
        <f t="shared" si="117"/>
        <v>744</v>
      </c>
      <c r="BN45" s="86">
        <f t="shared" si="108"/>
        <v>533.55959999999993</v>
      </c>
      <c r="BO45" s="214" t="s">
        <v>422</v>
      </c>
      <c r="BP45" s="53">
        <v>117.5</v>
      </c>
      <c r="BQ45" s="56"/>
      <c r="BR45" s="184"/>
      <c r="BS45" s="186">
        <f>10500/60</f>
        <v>175</v>
      </c>
      <c r="BT45" s="190">
        <v>68.3</v>
      </c>
      <c r="BU45" s="86">
        <f t="shared" si="97"/>
        <v>0.71714999999999995</v>
      </c>
      <c r="BV45" s="190">
        <f t="shared" si="118"/>
        <v>744</v>
      </c>
      <c r="BW45" s="86">
        <f t="shared" si="109"/>
        <v>533.55959999999993</v>
      </c>
      <c r="BX45" s="214" t="s">
        <v>422</v>
      </c>
      <c r="BY45" s="53">
        <v>117.5</v>
      </c>
      <c r="BZ45" s="56"/>
      <c r="CA45" s="184"/>
      <c r="CB45" s="186">
        <f>10500/60</f>
        <v>175</v>
      </c>
      <c r="CC45" s="190">
        <v>68.3</v>
      </c>
      <c r="CD45" s="86">
        <f t="shared" si="98"/>
        <v>0.71714999999999995</v>
      </c>
      <c r="CE45" s="52">
        <f t="shared" ref="CE45:CE48" si="122">30*24</f>
        <v>720</v>
      </c>
      <c r="CF45" s="86">
        <f t="shared" si="110"/>
        <v>516.34799999999996</v>
      </c>
      <c r="CG45" s="191" t="s">
        <v>423</v>
      </c>
      <c r="CH45" s="56">
        <v>118.6</v>
      </c>
      <c r="CI45" s="56"/>
      <c r="CJ45" s="184"/>
      <c r="CK45" s="186">
        <f>11650/60</f>
        <v>194.16666666666666</v>
      </c>
      <c r="CL45" s="190">
        <v>70.400000000000006</v>
      </c>
      <c r="CM45" s="86">
        <f t="shared" si="99"/>
        <v>0.82016</v>
      </c>
      <c r="CN45" s="31">
        <f t="shared" si="119"/>
        <v>744</v>
      </c>
      <c r="CO45" s="86">
        <f t="shared" si="111"/>
        <v>610.19903999999997</v>
      </c>
      <c r="CP45" s="191" t="s">
        <v>423</v>
      </c>
      <c r="CQ45" s="56">
        <v>118.6</v>
      </c>
      <c r="CR45" s="56"/>
      <c r="CS45" s="184"/>
      <c r="CT45" s="186">
        <f>11650/60</f>
        <v>194.16666666666666</v>
      </c>
      <c r="CU45" s="190">
        <v>70.400000000000006</v>
      </c>
      <c r="CV45" s="86">
        <f t="shared" si="100"/>
        <v>0.82016</v>
      </c>
      <c r="CW45" s="52">
        <f t="shared" si="120"/>
        <v>720</v>
      </c>
      <c r="CX45" s="86">
        <f t="shared" si="112"/>
        <v>590.51520000000005</v>
      </c>
      <c r="CY45" s="191" t="s">
        <v>423</v>
      </c>
      <c r="CZ45" s="56">
        <v>118.6</v>
      </c>
      <c r="DA45" s="56"/>
      <c r="DB45" s="184"/>
      <c r="DC45" s="186">
        <f>11650/60</f>
        <v>194.16666666666666</v>
      </c>
      <c r="DD45" s="190">
        <v>70.400000000000006</v>
      </c>
      <c r="DE45" s="86">
        <f t="shared" si="101"/>
        <v>0.82016</v>
      </c>
      <c r="DF45" s="52">
        <f>31*24</f>
        <v>744</v>
      </c>
      <c r="DG45" s="86">
        <f t="shared" si="113"/>
        <v>610.19903999999997</v>
      </c>
      <c r="DH45" s="253"/>
      <c r="DI45" s="253"/>
      <c r="DJ45" s="253"/>
      <c r="DK45" s="253"/>
      <c r="DL45" s="253"/>
    </row>
    <row r="46" spans="1:116" ht="12" customHeight="1">
      <c r="A46" s="31" t="s">
        <v>284</v>
      </c>
      <c r="B46" s="31"/>
      <c r="C46" s="53">
        <v>0.8</v>
      </c>
      <c r="D46" s="55" t="s">
        <v>417</v>
      </c>
      <c r="E46" s="53">
        <v>157.30000000000001</v>
      </c>
      <c r="F46" s="53"/>
      <c r="G46" s="85"/>
      <c r="H46" s="86">
        <f>10120/60</f>
        <v>168.66666666666666</v>
      </c>
      <c r="I46" s="109">
        <v>5.7</v>
      </c>
      <c r="J46" s="186">
        <f t="shared" si="90"/>
        <v>5.7683999999999999E-2</v>
      </c>
      <c r="K46" s="189">
        <f t="shared" ref="K46:K47" si="123">16*24</f>
        <v>384</v>
      </c>
      <c r="L46" s="186">
        <f t="shared" si="102"/>
        <v>22.150655999999998</v>
      </c>
      <c r="M46" s="55" t="s">
        <v>417</v>
      </c>
      <c r="N46" s="53">
        <v>157.30000000000001</v>
      </c>
      <c r="O46" s="53"/>
      <c r="P46" s="85"/>
      <c r="Q46" s="86">
        <f>10120/60</f>
        <v>168.66666666666666</v>
      </c>
      <c r="R46" s="109">
        <v>5.7</v>
      </c>
      <c r="S46" s="186">
        <f t="shared" si="91"/>
        <v>5.7683999999999999E-2</v>
      </c>
      <c r="T46" s="187">
        <f t="shared" ref="T46:T47" si="124">13*24+16</f>
        <v>328</v>
      </c>
      <c r="U46" s="186">
        <f t="shared" si="103"/>
        <v>18.920352000000001</v>
      </c>
      <c r="V46" s="55" t="s">
        <v>417</v>
      </c>
      <c r="W46" s="53">
        <v>157.30000000000001</v>
      </c>
      <c r="X46" s="53"/>
      <c r="Y46" s="85"/>
      <c r="Z46" s="86">
        <f>10120/60</f>
        <v>168.66666666666666</v>
      </c>
      <c r="AA46" s="109">
        <v>5.7</v>
      </c>
      <c r="AB46" s="186">
        <f t="shared" si="92"/>
        <v>5.7683999999999999E-2</v>
      </c>
      <c r="AC46" s="190">
        <f t="shared" ref="AC46:AC49" si="125">31*24</f>
        <v>744</v>
      </c>
      <c r="AD46" s="186">
        <f t="shared" si="104"/>
        <v>42.916896000000001</v>
      </c>
      <c r="AE46" s="214" t="s">
        <v>420</v>
      </c>
      <c r="AF46" s="53">
        <v>152.30000000000001</v>
      </c>
      <c r="AG46" s="53"/>
      <c r="AH46" s="85"/>
      <c r="AI46" s="86">
        <f>10700/60</f>
        <v>178.33333333333334</v>
      </c>
      <c r="AJ46" s="190">
        <v>6</v>
      </c>
      <c r="AK46" s="86">
        <f t="shared" si="93"/>
        <v>6.4199999999999993E-2</v>
      </c>
      <c r="AL46" s="187">
        <f t="shared" si="114"/>
        <v>720</v>
      </c>
      <c r="AM46" s="86">
        <f t="shared" si="105"/>
        <v>46.223999999999997</v>
      </c>
      <c r="AN46" s="214" t="s">
        <v>420</v>
      </c>
      <c r="AO46" s="53">
        <v>152.30000000000001</v>
      </c>
      <c r="AP46" s="53"/>
      <c r="AQ46" s="85"/>
      <c r="AR46" s="86">
        <f>10700/60</f>
        <v>178.33333333333334</v>
      </c>
      <c r="AS46" s="190">
        <v>6</v>
      </c>
      <c r="AT46" s="86">
        <f t="shared" si="94"/>
        <v>6.4199999999999993E-2</v>
      </c>
      <c r="AU46" s="31">
        <f t="shared" si="115"/>
        <v>744</v>
      </c>
      <c r="AV46" s="86">
        <f t="shared" si="106"/>
        <v>47.764799999999994</v>
      </c>
      <c r="AW46" s="214" t="s">
        <v>422</v>
      </c>
      <c r="AX46" s="53">
        <v>125.8</v>
      </c>
      <c r="AY46" s="56"/>
      <c r="AZ46" s="184"/>
      <c r="BA46" s="86">
        <f>10700/60</f>
        <v>178.33333333333334</v>
      </c>
      <c r="BB46" s="190">
        <v>72.400000000000006</v>
      </c>
      <c r="BC46" s="86">
        <f t="shared" si="95"/>
        <v>0.77468000000000015</v>
      </c>
      <c r="BD46" s="190">
        <f t="shared" si="116"/>
        <v>720</v>
      </c>
      <c r="BE46" s="86">
        <f t="shared" si="107"/>
        <v>557.76960000000008</v>
      </c>
      <c r="BF46" s="214" t="s">
        <v>422</v>
      </c>
      <c r="BG46" s="53">
        <v>125.8</v>
      </c>
      <c r="BH46" s="56"/>
      <c r="BI46" s="184"/>
      <c r="BJ46" s="86">
        <f>10700/60</f>
        <v>178.33333333333334</v>
      </c>
      <c r="BK46" s="190">
        <v>72.400000000000006</v>
      </c>
      <c r="BL46" s="86">
        <f t="shared" si="96"/>
        <v>0.77468000000000015</v>
      </c>
      <c r="BM46" s="52">
        <f t="shared" si="117"/>
        <v>744</v>
      </c>
      <c r="BN46" s="86">
        <f t="shared" si="108"/>
        <v>576.36192000000005</v>
      </c>
      <c r="BO46" s="214" t="s">
        <v>422</v>
      </c>
      <c r="BP46" s="53">
        <v>125.8</v>
      </c>
      <c r="BQ46" s="56"/>
      <c r="BR46" s="184"/>
      <c r="BS46" s="86">
        <f>10700/60</f>
        <v>178.33333333333334</v>
      </c>
      <c r="BT46" s="190">
        <v>72.400000000000006</v>
      </c>
      <c r="BU46" s="86">
        <f t="shared" si="97"/>
        <v>0.77468000000000015</v>
      </c>
      <c r="BV46" s="190">
        <f t="shared" si="118"/>
        <v>744</v>
      </c>
      <c r="BW46" s="86">
        <f t="shared" si="109"/>
        <v>576.36192000000005</v>
      </c>
      <c r="BX46" s="214" t="s">
        <v>422</v>
      </c>
      <c r="BY46" s="53">
        <v>125.8</v>
      </c>
      <c r="BZ46" s="56"/>
      <c r="CA46" s="184"/>
      <c r="CB46" s="86">
        <f>10700/60</f>
        <v>178.33333333333334</v>
      </c>
      <c r="CC46" s="190">
        <v>72.400000000000006</v>
      </c>
      <c r="CD46" s="86">
        <f t="shared" si="98"/>
        <v>0.77468000000000015</v>
      </c>
      <c r="CE46" s="52">
        <f t="shared" si="122"/>
        <v>720</v>
      </c>
      <c r="CF46" s="86">
        <f t="shared" si="110"/>
        <v>557.76960000000008</v>
      </c>
      <c r="CG46" s="214" t="s">
        <v>422</v>
      </c>
      <c r="CH46" s="53">
        <v>125.8</v>
      </c>
      <c r="CI46" s="53"/>
      <c r="CJ46" s="85"/>
      <c r="CK46" s="86">
        <f>10700/60</f>
        <v>178.33333333333334</v>
      </c>
      <c r="CL46" s="190">
        <v>72.400000000000006</v>
      </c>
      <c r="CM46" s="86">
        <f t="shared" si="99"/>
        <v>0.77468000000000015</v>
      </c>
      <c r="CN46" s="31">
        <f t="shared" si="119"/>
        <v>744</v>
      </c>
      <c r="CO46" s="86">
        <f t="shared" si="111"/>
        <v>576.36192000000005</v>
      </c>
      <c r="CP46" s="214" t="s">
        <v>422</v>
      </c>
      <c r="CQ46" s="53">
        <v>125.8</v>
      </c>
      <c r="CR46" s="53"/>
      <c r="CS46" s="85"/>
      <c r="CT46" s="86">
        <f>10700/60</f>
        <v>178.33333333333334</v>
      </c>
      <c r="CU46" s="190">
        <v>72.400000000000006</v>
      </c>
      <c r="CV46" s="86">
        <f t="shared" si="100"/>
        <v>0.77468000000000015</v>
      </c>
      <c r="CW46" s="52">
        <f t="shared" si="120"/>
        <v>720</v>
      </c>
      <c r="CX46" s="86">
        <f t="shared" si="112"/>
        <v>557.76960000000008</v>
      </c>
      <c r="CY46" s="214" t="s">
        <v>422</v>
      </c>
      <c r="CZ46" s="53">
        <v>125.8</v>
      </c>
      <c r="DA46" s="53"/>
      <c r="DB46" s="85"/>
      <c r="DC46" s="86">
        <f>10700/60</f>
        <v>178.33333333333334</v>
      </c>
      <c r="DD46" s="190">
        <v>72.400000000000006</v>
      </c>
      <c r="DE46" s="86">
        <f t="shared" si="101"/>
        <v>0.77468000000000015</v>
      </c>
      <c r="DF46" s="52">
        <f t="shared" ref="DF46:DF48" si="126">31*24</f>
        <v>744</v>
      </c>
      <c r="DG46" s="86">
        <f t="shared" si="113"/>
        <v>576.36192000000005</v>
      </c>
      <c r="DH46" s="253"/>
      <c r="DI46" s="253"/>
      <c r="DJ46" s="253"/>
      <c r="DK46" s="253"/>
      <c r="DL46" s="253"/>
    </row>
    <row r="47" spans="1:116" ht="12" customHeight="1">
      <c r="A47" s="31" t="s">
        <v>285</v>
      </c>
      <c r="B47" s="31"/>
      <c r="C47" s="53">
        <v>0.8</v>
      </c>
      <c r="D47" s="55" t="s">
        <v>417</v>
      </c>
      <c r="E47" s="53">
        <v>124.3</v>
      </c>
      <c r="F47" s="53"/>
      <c r="G47" s="85"/>
      <c r="H47" s="86">
        <f>8490/60</f>
        <v>141.5</v>
      </c>
      <c r="I47" s="109">
        <v>5.5</v>
      </c>
      <c r="J47" s="186">
        <f t="shared" si="90"/>
        <v>4.6695E-2</v>
      </c>
      <c r="K47" s="189">
        <f t="shared" si="123"/>
        <v>384</v>
      </c>
      <c r="L47" s="186">
        <f t="shared" si="102"/>
        <v>17.930880000000002</v>
      </c>
      <c r="M47" s="55" t="s">
        <v>417</v>
      </c>
      <c r="N47" s="53">
        <v>124.3</v>
      </c>
      <c r="O47" s="53"/>
      <c r="P47" s="85"/>
      <c r="Q47" s="86">
        <f>8490/60</f>
        <v>141.5</v>
      </c>
      <c r="R47" s="109">
        <v>5.5</v>
      </c>
      <c r="S47" s="186">
        <f t="shared" si="91"/>
        <v>4.6695E-2</v>
      </c>
      <c r="T47" s="187">
        <f t="shared" si="124"/>
        <v>328</v>
      </c>
      <c r="U47" s="186">
        <f t="shared" si="103"/>
        <v>15.31596</v>
      </c>
      <c r="V47" s="55" t="s">
        <v>417</v>
      </c>
      <c r="W47" s="53">
        <v>124.3</v>
      </c>
      <c r="X47" s="53"/>
      <c r="Y47" s="85"/>
      <c r="Z47" s="86">
        <f>8490/60</f>
        <v>141.5</v>
      </c>
      <c r="AA47" s="109">
        <v>5.5</v>
      </c>
      <c r="AB47" s="186">
        <f t="shared" si="92"/>
        <v>4.6695E-2</v>
      </c>
      <c r="AC47" s="190">
        <f t="shared" si="125"/>
        <v>744</v>
      </c>
      <c r="AD47" s="186">
        <f t="shared" si="104"/>
        <v>34.741080000000004</v>
      </c>
      <c r="AE47" s="214" t="s">
        <v>420</v>
      </c>
      <c r="AF47" s="53">
        <v>149.5</v>
      </c>
      <c r="AG47" s="53"/>
      <c r="AH47" s="85"/>
      <c r="AI47" s="86">
        <f>11200/60</f>
        <v>186.66666666666666</v>
      </c>
      <c r="AJ47" s="190">
        <v>5.7</v>
      </c>
      <c r="AK47" s="86">
        <f t="shared" si="93"/>
        <v>6.3839999999999994E-2</v>
      </c>
      <c r="AL47" s="187">
        <f t="shared" si="114"/>
        <v>720</v>
      </c>
      <c r="AM47" s="86">
        <f t="shared" si="105"/>
        <v>45.964799999999997</v>
      </c>
      <c r="AN47" s="214" t="s">
        <v>420</v>
      </c>
      <c r="AO47" s="53">
        <v>149.5</v>
      </c>
      <c r="AP47" s="53"/>
      <c r="AQ47" s="85"/>
      <c r="AR47" s="86">
        <f>11200/60</f>
        <v>186.66666666666666</v>
      </c>
      <c r="AS47" s="190">
        <v>5.7</v>
      </c>
      <c r="AT47" s="86">
        <f t="shared" si="94"/>
        <v>6.3839999999999994E-2</v>
      </c>
      <c r="AU47" s="31">
        <f t="shared" si="115"/>
        <v>744</v>
      </c>
      <c r="AV47" s="86">
        <f t="shared" si="106"/>
        <v>47.496959999999994</v>
      </c>
      <c r="AW47" s="214" t="s">
        <v>422</v>
      </c>
      <c r="AX47" s="53">
        <v>105.7</v>
      </c>
      <c r="AY47" s="56"/>
      <c r="AZ47" s="184"/>
      <c r="BA47" s="86">
        <f>11200/60</f>
        <v>186.66666666666666</v>
      </c>
      <c r="BB47" s="190">
        <v>74.5</v>
      </c>
      <c r="BC47" s="86">
        <f t="shared" si="95"/>
        <v>0.83440000000000003</v>
      </c>
      <c r="BD47" s="190">
        <f t="shared" si="116"/>
        <v>720</v>
      </c>
      <c r="BE47" s="86">
        <f t="shared" si="107"/>
        <v>600.76800000000003</v>
      </c>
      <c r="BF47" s="214" t="s">
        <v>422</v>
      </c>
      <c r="BG47" s="53">
        <v>105.7</v>
      </c>
      <c r="BH47" s="56"/>
      <c r="BI47" s="184"/>
      <c r="BJ47" s="86">
        <f>11200/60</f>
        <v>186.66666666666666</v>
      </c>
      <c r="BK47" s="190">
        <v>74.5</v>
      </c>
      <c r="BL47" s="86">
        <f t="shared" si="96"/>
        <v>0.83440000000000003</v>
      </c>
      <c r="BM47" s="52">
        <f t="shared" si="117"/>
        <v>744</v>
      </c>
      <c r="BN47" s="86">
        <f t="shared" si="108"/>
        <v>620.79359999999997</v>
      </c>
      <c r="BO47" s="214" t="s">
        <v>422</v>
      </c>
      <c r="BP47" s="53">
        <v>105.7</v>
      </c>
      <c r="BQ47" s="56"/>
      <c r="BR47" s="184"/>
      <c r="BS47" s="86">
        <f>11200/60</f>
        <v>186.66666666666666</v>
      </c>
      <c r="BT47" s="190">
        <v>74.5</v>
      </c>
      <c r="BU47" s="86">
        <f t="shared" si="97"/>
        <v>0.83440000000000003</v>
      </c>
      <c r="BV47" s="190">
        <f t="shared" si="118"/>
        <v>744</v>
      </c>
      <c r="BW47" s="86">
        <f t="shared" si="109"/>
        <v>620.79359999999997</v>
      </c>
      <c r="BX47" s="214" t="s">
        <v>422</v>
      </c>
      <c r="BY47" s="53">
        <v>105.7</v>
      </c>
      <c r="BZ47" s="56"/>
      <c r="CA47" s="184"/>
      <c r="CB47" s="86">
        <f>11200/60</f>
        <v>186.66666666666666</v>
      </c>
      <c r="CC47" s="190">
        <v>74.5</v>
      </c>
      <c r="CD47" s="86">
        <f t="shared" si="98"/>
        <v>0.83440000000000003</v>
      </c>
      <c r="CE47" s="52">
        <f t="shared" si="122"/>
        <v>720</v>
      </c>
      <c r="CF47" s="86">
        <f t="shared" si="110"/>
        <v>600.76800000000003</v>
      </c>
      <c r="CG47" s="191" t="s">
        <v>423</v>
      </c>
      <c r="CH47" s="56">
        <v>124.7</v>
      </c>
      <c r="CI47" s="56"/>
      <c r="CJ47" s="184"/>
      <c r="CK47" s="186">
        <f>9340/60</f>
        <v>155.66666666666666</v>
      </c>
      <c r="CL47" s="190">
        <v>70.7</v>
      </c>
      <c r="CM47" s="86">
        <f t="shared" si="99"/>
        <v>0.66033799999999998</v>
      </c>
      <c r="CN47" s="31">
        <f t="shared" si="119"/>
        <v>744</v>
      </c>
      <c r="CO47" s="86">
        <f t="shared" si="111"/>
        <v>491.291472</v>
      </c>
      <c r="CP47" s="191" t="s">
        <v>423</v>
      </c>
      <c r="CQ47" s="56">
        <v>124.7</v>
      </c>
      <c r="CR47" s="56"/>
      <c r="CS47" s="184"/>
      <c r="CT47" s="186">
        <f>9340/60</f>
        <v>155.66666666666666</v>
      </c>
      <c r="CU47" s="190">
        <v>70.7</v>
      </c>
      <c r="CV47" s="86">
        <f t="shared" si="100"/>
        <v>0.66033799999999998</v>
      </c>
      <c r="CW47" s="52">
        <f t="shared" si="120"/>
        <v>720</v>
      </c>
      <c r="CX47" s="86">
        <f t="shared" si="112"/>
        <v>475.44335999999998</v>
      </c>
      <c r="CY47" s="191" t="s">
        <v>423</v>
      </c>
      <c r="CZ47" s="56">
        <v>124.7</v>
      </c>
      <c r="DA47" s="56"/>
      <c r="DB47" s="184"/>
      <c r="DC47" s="186">
        <f>9340/60</f>
        <v>155.66666666666666</v>
      </c>
      <c r="DD47" s="190">
        <v>70.7</v>
      </c>
      <c r="DE47" s="86">
        <f t="shared" si="101"/>
        <v>0.66033799999999998</v>
      </c>
      <c r="DF47" s="52">
        <f t="shared" si="126"/>
        <v>744</v>
      </c>
      <c r="DG47" s="86">
        <f t="shared" si="113"/>
        <v>491.291472</v>
      </c>
      <c r="DH47" s="253"/>
      <c r="DI47" s="253"/>
      <c r="DJ47" s="253"/>
      <c r="DK47" s="253"/>
      <c r="DL47" s="253"/>
    </row>
    <row r="48" spans="1:116" ht="12" customHeight="1">
      <c r="A48" s="31" t="s">
        <v>286</v>
      </c>
      <c r="B48" s="31"/>
      <c r="C48" s="53">
        <v>0.8</v>
      </c>
      <c r="D48" s="55" t="s">
        <v>417</v>
      </c>
      <c r="E48" s="53">
        <v>117.7</v>
      </c>
      <c r="F48" s="53"/>
      <c r="G48" s="85"/>
      <c r="H48" s="86">
        <f>8280/60</f>
        <v>138</v>
      </c>
      <c r="I48" s="109">
        <v>7.2</v>
      </c>
      <c r="J48" s="186">
        <f t="shared" si="90"/>
        <v>5.9616000000000002E-2</v>
      </c>
      <c r="K48" s="189">
        <f t="shared" ref="K48:K49" si="127">17*24+8</f>
        <v>416</v>
      </c>
      <c r="L48" s="186">
        <f t="shared" si="102"/>
        <v>24.800256000000001</v>
      </c>
      <c r="M48" s="55" t="s">
        <v>417</v>
      </c>
      <c r="N48" s="53">
        <v>117.7</v>
      </c>
      <c r="O48" s="53"/>
      <c r="P48" s="85"/>
      <c r="Q48" s="86">
        <f>8280/60</f>
        <v>138</v>
      </c>
      <c r="R48" s="109">
        <v>7.2</v>
      </c>
      <c r="S48" s="186">
        <f t="shared" si="91"/>
        <v>5.9616000000000002E-2</v>
      </c>
      <c r="T48" s="187">
        <f t="shared" ref="T48:T49" si="128">18*24+16</f>
        <v>448</v>
      </c>
      <c r="U48" s="186">
        <f t="shared" si="103"/>
        <v>26.707968000000001</v>
      </c>
      <c r="V48" s="55" t="s">
        <v>417</v>
      </c>
      <c r="W48" s="53">
        <v>117.7</v>
      </c>
      <c r="X48" s="53"/>
      <c r="Y48" s="85"/>
      <c r="Z48" s="86">
        <f>8280/60</f>
        <v>138</v>
      </c>
      <c r="AA48" s="109">
        <v>7.2</v>
      </c>
      <c r="AB48" s="186">
        <f t="shared" si="92"/>
        <v>5.9616000000000002E-2</v>
      </c>
      <c r="AC48" s="190">
        <f t="shared" si="125"/>
        <v>744</v>
      </c>
      <c r="AD48" s="186">
        <f t="shared" si="104"/>
        <v>44.354303999999999</v>
      </c>
      <c r="AE48" s="214" t="s">
        <v>420</v>
      </c>
      <c r="AF48" s="53">
        <v>147.9</v>
      </c>
      <c r="AG48" s="53"/>
      <c r="AH48" s="85"/>
      <c r="AI48" s="86">
        <f>9900/60</f>
        <v>165</v>
      </c>
      <c r="AJ48" s="190">
        <v>5.7</v>
      </c>
      <c r="AK48" s="86">
        <f t="shared" si="93"/>
        <v>5.6430000000000001E-2</v>
      </c>
      <c r="AL48" s="187">
        <f t="shared" si="114"/>
        <v>720</v>
      </c>
      <c r="AM48" s="86">
        <f t="shared" si="105"/>
        <v>40.629600000000003</v>
      </c>
      <c r="AN48" s="214" t="s">
        <v>420</v>
      </c>
      <c r="AO48" s="53">
        <v>147.9</v>
      </c>
      <c r="AP48" s="53"/>
      <c r="AQ48" s="85"/>
      <c r="AR48" s="86">
        <f>9900/60</f>
        <v>165</v>
      </c>
      <c r="AS48" s="190">
        <v>5.7</v>
      </c>
      <c r="AT48" s="86">
        <f t="shared" si="94"/>
        <v>5.6430000000000001E-2</v>
      </c>
      <c r="AU48" s="31">
        <f t="shared" si="115"/>
        <v>744</v>
      </c>
      <c r="AV48" s="86">
        <f t="shared" si="106"/>
        <v>41.983919999999998</v>
      </c>
      <c r="AW48" s="214" t="s">
        <v>420</v>
      </c>
      <c r="AX48" s="53">
        <v>147.9</v>
      </c>
      <c r="AY48" s="56"/>
      <c r="AZ48" s="184"/>
      <c r="BA48" s="86">
        <f>9900/60</f>
        <v>165</v>
      </c>
      <c r="BB48" s="190">
        <v>5.7</v>
      </c>
      <c r="BC48" s="86">
        <f t="shared" si="95"/>
        <v>5.6430000000000001E-2</v>
      </c>
      <c r="BD48" s="190">
        <f t="shared" si="116"/>
        <v>720</v>
      </c>
      <c r="BE48" s="86">
        <f t="shared" si="107"/>
        <v>40.629600000000003</v>
      </c>
      <c r="BF48" s="214" t="s">
        <v>420</v>
      </c>
      <c r="BG48" s="53">
        <v>147.9</v>
      </c>
      <c r="BH48" s="56"/>
      <c r="BI48" s="184"/>
      <c r="BJ48" s="86">
        <f>9900/60</f>
        <v>165</v>
      </c>
      <c r="BK48" s="190">
        <v>5.7</v>
      </c>
      <c r="BL48" s="86">
        <f t="shared" si="96"/>
        <v>5.6430000000000001E-2</v>
      </c>
      <c r="BM48" s="52">
        <f t="shared" si="117"/>
        <v>744</v>
      </c>
      <c r="BN48" s="86">
        <f t="shared" si="108"/>
        <v>41.983919999999998</v>
      </c>
      <c r="BO48" s="214" t="s">
        <v>420</v>
      </c>
      <c r="BP48" s="53">
        <v>147.9</v>
      </c>
      <c r="BQ48" s="56"/>
      <c r="BR48" s="184"/>
      <c r="BS48" s="86">
        <f>9900/60</f>
        <v>165</v>
      </c>
      <c r="BT48" s="190">
        <v>5.7</v>
      </c>
      <c r="BU48" s="86">
        <f t="shared" si="97"/>
        <v>5.6430000000000001E-2</v>
      </c>
      <c r="BV48" s="190">
        <f t="shared" si="118"/>
        <v>744</v>
      </c>
      <c r="BW48" s="86">
        <f t="shared" si="109"/>
        <v>41.983919999999998</v>
      </c>
      <c r="BX48" s="214" t="s">
        <v>420</v>
      </c>
      <c r="BY48" s="53">
        <v>147.9</v>
      </c>
      <c r="BZ48" s="56"/>
      <c r="CA48" s="184"/>
      <c r="CB48" s="86">
        <f>9900/60</f>
        <v>165</v>
      </c>
      <c r="CC48" s="190">
        <v>5.7</v>
      </c>
      <c r="CD48" s="86">
        <f t="shared" si="98"/>
        <v>5.6430000000000001E-2</v>
      </c>
      <c r="CE48" s="52">
        <f t="shared" si="122"/>
        <v>720</v>
      </c>
      <c r="CF48" s="86">
        <f t="shared" si="110"/>
        <v>40.629600000000003</v>
      </c>
      <c r="CG48" s="191" t="s">
        <v>423</v>
      </c>
      <c r="CH48" s="56">
        <v>107.8</v>
      </c>
      <c r="CI48" s="56"/>
      <c r="CJ48" s="184"/>
      <c r="CK48" s="186">
        <f>12140/60</f>
        <v>202.33333333333334</v>
      </c>
      <c r="CL48" s="190">
        <v>75.7</v>
      </c>
      <c r="CM48" s="86">
        <f t="shared" si="99"/>
        <v>0.91899800000000009</v>
      </c>
      <c r="CN48" s="31">
        <f t="shared" si="119"/>
        <v>744</v>
      </c>
      <c r="CO48" s="86">
        <f t="shared" si="111"/>
        <v>683.73451200000011</v>
      </c>
      <c r="CP48" s="191" t="s">
        <v>423</v>
      </c>
      <c r="CQ48" s="56">
        <v>107.8</v>
      </c>
      <c r="CR48" s="56"/>
      <c r="CS48" s="184"/>
      <c r="CT48" s="186">
        <f>12140/60</f>
        <v>202.33333333333334</v>
      </c>
      <c r="CU48" s="190">
        <v>75.7</v>
      </c>
      <c r="CV48" s="86">
        <f t="shared" si="100"/>
        <v>0.91899800000000009</v>
      </c>
      <c r="CW48" s="52">
        <f t="shared" si="120"/>
        <v>720</v>
      </c>
      <c r="CX48" s="86">
        <f t="shared" si="112"/>
        <v>661.67856000000006</v>
      </c>
      <c r="CY48" s="191" t="s">
        <v>423</v>
      </c>
      <c r="CZ48" s="56">
        <v>107.8</v>
      </c>
      <c r="DA48" s="56"/>
      <c r="DB48" s="184"/>
      <c r="DC48" s="186">
        <f>12140/60</f>
        <v>202.33333333333334</v>
      </c>
      <c r="DD48" s="190">
        <v>75.7</v>
      </c>
      <c r="DE48" s="86">
        <f t="shared" si="101"/>
        <v>0.91899800000000009</v>
      </c>
      <c r="DF48" s="52">
        <f t="shared" si="126"/>
        <v>744</v>
      </c>
      <c r="DG48" s="86">
        <f t="shared" si="113"/>
        <v>683.73451200000011</v>
      </c>
      <c r="DH48" s="253"/>
      <c r="DI48" s="253"/>
      <c r="DJ48" s="253"/>
      <c r="DK48" s="253"/>
      <c r="DL48" s="253"/>
    </row>
    <row r="49" spans="1:116" ht="12" customHeight="1">
      <c r="A49" s="31" t="s">
        <v>287</v>
      </c>
      <c r="B49" s="31"/>
      <c r="C49" s="53">
        <v>0.8</v>
      </c>
      <c r="D49" s="214" t="s">
        <v>418</v>
      </c>
      <c r="E49" s="56">
        <v>150.4</v>
      </c>
      <c r="F49" s="53"/>
      <c r="G49" s="85"/>
      <c r="H49" s="186">
        <f>10650/60</f>
        <v>177.5</v>
      </c>
      <c r="I49" s="109">
        <v>4.5</v>
      </c>
      <c r="J49" s="186">
        <f t="shared" si="90"/>
        <v>4.7925000000000002E-2</v>
      </c>
      <c r="K49" s="189">
        <f t="shared" si="127"/>
        <v>416</v>
      </c>
      <c r="L49" s="186">
        <f t="shared" si="102"/>
        <v>19.936800000000002</v>
      </c>
      <c r="M49" s="214" t="s">
        <v>418</v>
      </c>
      <c r="N49" s="56">
        <v>150.4</v>
      </c>
      <c r="O49" s="53"/>
      <c r="P49" s="85"/>
      <c r="Q49" s="186">
        <f>10650/60</f>
        <v>177.5</v>
      </c>
      <c r="R49" s="109">
        <v>4.5</v>
      </c>
      <c r="S49" s="186">
        <f t="shared" si="91"/>
        <v>4.7925000000000002E-2</v>
      </c>
      <c r="T49" s="187">
        <f t="shared" si="128"/>
        <v>448</v>
      </c>
      <c r="U49" s="186">
        <f t="shared" si="103"/>
        <v>21.470400000000001</v>
      </c>
      <c r="V49" s="214" t="s">
        <v>418</v>
      </c>
      <c r="W49" s="56">
        <v>150.4</v>
      </c>
      <c r="X49" s="53"/>
      <c r="Y49" s="85"/>
      <c r="Z49" s="186">
        <f>10650/60</f>
        <v>177.5</v>
      </c>
      <c r="AA49" s="109">
        <v>4.5</v>
      </c>
      <c r="AB49" s="186">
        <f t="shared" si="92"/>
        <v>4.7925000000000002E-2</v>
      </c>
      <c r="AC49" s="190">
        <f t="shared" si="125"/>
        <v>744</v>
      </c>
      <c r="AD49" s="186">
        <f t="shared" si="104"/>
        <v>35.656199999999998</v>
      </c>
      <c r="AE49" s="214" t="s">
        <v>418</v>
      </c>
      <c r="AF49" s="56">
        <v>150.4</v>
      </c>
      <c r="AG49" s="56"/>
      <c r="AH49" s="184"/>
      <c r="AI49" s="186">
        <f>10650/60</f>
        <v>177.5</v>
      </c>
      <c r="AJ49" s="109">
        <v>4.5</v>
      </c>
      <c r="AK49" s="86">
        <f t="shared" si="93"/>
        <v>4.7925000000000002E-2</v>
      </c>
      <c r="AL49" s="187">
        <f t="shared" si="114"/>
        <v>720</v>
      </c>
      <c r="AM49" s="86">
        <f t="shared" si="105"/>
        <v>34.506</v>
      </c>
      <c r="AN49" s="214" t="s">
        <v>418</v>
      </c>
      <c r="AO49" s="56">
        <v>150.4</v>
      </c>
      <c r="AP49" s="56"/>
      <c r="AQ49" s="184"/>
      <c r="AR49" s="186">
        <f>10650/60</f>
        <v>177.5</v>
      </c>
      <c r="AS49" s="109">
        <v>4.5</v>
      </c>
      <c r="AT49" s="86">
        <f t="shared" si="94"/>
        <v>4.7925000000000002E-2</v>
      </c>
      <c r="AU49" s="31">
        <f t="shared" si="115"/>
        <v>744</v>
      </c>
      <c r="AV49" s="86">
        <f t="shared" si="106"/>
        <v>35.656199999999998</v>
      </c>
      <c r="AW49" s="214" t="s">
        <v>418</v>
      </c>
      <c r="AX49" s="56">
        <v>150.4</v>
      </c>
      <c r="AY49" s="190"/>
      <c r="AZ49" s="190"/>
      <c r="BA49" s="186">
        <f>10650/60</f>
        <v>177.5</v>
      </c>
      <c r="BB49" s="109">
        <v>4.5</v>
      </c>
      <c r="BC49" s="86">
        <f t="shared" si="95"/>
        <v>4.7925000000000002E-2</v>
      </c>
      <c r="BD49" s="190">
        <f t="shared" si="116"/>
        <v>720</v>
      </c>
      <c r="BE49" s="86">
        <f t="shared" si="107"/>
        <v>34.506</v>
      </c>
      <c r="BF49" s="214" t="s">
        <v>418</v>
      </c>
      <c r="BG49" s="56">
        <v>150.4</v>
      </c>
      <c r="BH49" s="190"/>
      <c r="BI49" s="190"/>
      <c r="BJ49" s="186">
        <f>10650/60</f>
        <v>177.5</v>
      </c>
      <c r="BK49" s="109">
        <v>4.5</v>
      </c>
      <c r="BL49" s="86">
        <f t="shared" si="96"/>
        <v>4.7925000000000002E-2</v>
      </c>
      <c r="BM49" s="52">
        <f t="shared" si="117"/>
        <v>744</v>
      </c>
      <c r="BN49" s="86">
        <f t="shared" si="108"/>
        <v>35.656199999999998</v>
      </c>
      <c r="BO49" s="214" t="s">
        <v>418</v>
      </c>
      <c r="BP49" s="56">
        <v>150.4</v>
      </c>
      <c r="BQ49" s="190"/>
      <c r="BR49" s="190"/>
      <c r="BS49" s="186">
        <f>10650/60</f>
        <v>177.5</v>
      </c>
      <c r="BT49" s="109">
        <v>4.5</v>
      </c>
      <c r="BU49" s="86">
        <f t="shared" si="97"/>
        <v>4.7925000000000002E-2</v>
      </c>
      <c r="BV49" s="190">
        <f t="shared" si="118"/>
        <v>744</v>
      </c>
      <c r="BW49" s="86">
        <f t="shared" si="109"/>
        <v>35.656199999999998</v>
      </c>
      <c r="BX49" s="214" t="s">
        <v>418</v>
      </c>
      <c r="BY49" s="56">
        <v>150.4</v>
      </c>
      <c r="BZ49" s="190"/>
      <c r="CA49" s="190"/>
      <c r="CB49" s="186">
        <f>10650/60</f>
        <v>177.5</v>
      </c>
      <c r="CC49" s="109">
        <v>4.5</v>
      </c>
      <c r="CD49" s="86">
        <f t="shared" si="98"/>
        <v>4.7925000000000002E-2</v>
      </c>
      <c r="CE49" s="52">
        <f>2*24</f>
        <v>48</v>
      </c>
      <c r="CF49" s="86">
        <f t="shared" si="110"/>
        <v>2.3004000000000002</v>
      </c>
      <c r="CG49" s="191" t="s">
        <v>423</v>
      </c>
      <c r="CH49" s="56">
        <v>111.4</v>
      </c>
      <c r="CI49" s="56"/>
      <c r="CJ49" s="184"/>
      <c r="CK49" s="186">
        <f>10450/60</f>
        <v>174.16666666666666</v>
      </c>
      <c r="CL49" s="190">
        <v>70.2</v>
      </c>
      <c r="CM49" s="86">
        <f t="shared" si="99"/>
        <v>0.73358999999999996</v>
      </c>
      <c r="CN49" s="31">
        <v>0</v>
      </c>
      <c r="CO49" s="86">
        <f t="shared" si="111"/>
        <v>0</v>
      </c>
      <c r="CP49" s="191" t="s">
        <v>423</v>
      </c>
      <c r="CQ49" s="56">
        <v>111.4</v>
      </c>
      <c r="CR49" s="56"/>
      <c r="CS49" s="184"/>
      <c r="CT49" s="186">
        <f>10450/60</f>
        <v>174.16666666666666</v>
      </c>
      <c r="CU49" s="190">
        <v>70.2</v>
      </c>
      <c r="CV49" s="86">
        <f t="shared" si="100"/>
        <v>0.73358999999999996</v>
      </c>
      <c r="CW49" s="52">
        <v>0</v>
      </c>
      <c r="CX49" s="86">
        <f t="shared" si="112"/>
        <v>0</v>
      </c>
      <c r="CY49" s="191" t="s">
        <v>423</v>
      </c>
      <c r="CZ49" s="56">
        <v>111.4</v>
      </c>
      <c r="DA49" s="56"/>
      <c r="DB49" s="184"/>
      <c r="DC49" s="186">
        <f>10450/60</f>
        <v>174.16666666666666</v>
      </c>
      <c r="DD49" s="190">
        <v>70.2</v>
      </c>
      <c r="DE49" s="86">
        <f t="shared" si="101"/>
        <v>0.73358999999999996</v>
      </c>
      <c r="DF49" s="52">
        <f>26*24</f>
        <v>624</v>
      </c>
      <c r="DG49" s="86">
        <f t="shared" si="113"/>
        <v>457.76015999999998</v>
      </c>
      <c r="DH49" s="253"/>
      <c r="DI49" s="253"/>
      <c r="DJ49" s="253"/>
      <c r="DK49" s="253"/>
      <c r="DL49" s="253"/>
    </row>
    <row r="50" spans="1:116" ht="12" customHeight="1">
      <c r="A50" s="31" t="s">
        <v>288</v>
      </c>
      <c r="B50" s="31"/>
      <c r="C50" s="53">
        <v>0.8</v>
      </c>
      <c r="D50" s="214" t="s">
        <v>418</v>
      </c>
      <c r="E50" s="56">
        <v>120.1</v>
      </c>
      <c r="F50" s="190"/>
      <c r="G50" s="190"/>
      <c r="H50" s="186">
        <f>10700/60</f>
        <v>178.33333333333334</v>
      </c>
      <c r="I50" s="190">
        <v>4.3</v>
      </c>
      <c r="J50" s="186">
        <f t="shared" si="90"/>
        <v>4.6010000000000002E-2</v>
      </c>
      <c r="K50" s="189">
        <f t="shared" ref="K50:K51" si="129">17*24+16</f>
        <v>424</v>
      </c>
      <c r="L50" s="186">
        <f t="shared" si="102"/>
        <v>19.508240000000001</v>
      </c>
      <c r="M50" s="214" t="s">
        <v>418</v>
      </c>
      <c r="N50" s="56">
        <v>120.1</v>
      </c>
      <c r="O50" s="190"/>
      <c r="P50" s="190"/>
      <c r="Q50" s="186">
        <f>10700/60</f>
        <v>178.33333333333334</v>
      </c>
      <c r="R50" s="190">
        <v>4.3</v>
      </c>
      <c r="S50" s="186">
        <f t="shared" si="91"/>
        <v>4.6010000000000002E-2</v>
      </c>
      <c r="T50" s="187">
        <v>0</v>
      </c>
      <c r="U50" s="186">
        <f t="shared" si="103"/>
        <v>0</v>
      </c>
      <c r="V50" s="214" t="s">
        <v>418</v>
      </c>
      <c r="W50" s="56">
        <v>120.1</v>
      </c>
      <c r="X50" s="190"/>
      <c r="Y50" s="190"/>
      <c r="Z50" s="186">
        <f>10700/60</f>
        <v>178.33333333333334</v>
      </c>
      <c r="AA50" s="190">
        <v>4.3</v>
      </c>
      <c r="AB50" s="186">
        <f t="shared" si="92"/>
        <v>4.6010000000000002E-2</v>
      </c>
      <c r="AC50" s="190">
        <f>26*24</f>
        <v>624</v>
      </c>
      <c r="AD50" s="186">
        <f t="shared" si="104"/>
        <v>28.710240000000002</v>
      </c>
      <c r="AE50" s="214" t="s">
        <v>418</v>
      </c>
      <c r="AF50" s="56">
        <v>120.1</v>
      </c>
      <c r="AG50" s="56"/>
      <c r="AH50" s="184"/>
      <c r="AI50" s="186">
        <f>10700/60</f>
        <v>178.33333333333334</v>
      </c>
      <c r="AJ50" s="190">
        <v>4.3</v>
      </c>
      <c r="AK50" s="86">
        <f t="shared" si="93"/>
        <v>4.6010000000000002E-2</v>
      </c>
      <c r="AL50" s="187">
        <f>4*24+6</f>
        <v>102</v>
      </c>
      <c r="AM50" s="86">
        <f t="shared" si="105"/>
        <v>4.6930200000000006</v>
      </c>
      <c r="AN50" s="214" t="s">
        <v>418</v>
      </c>
      <c r="AO50" s="56">
        <v>120.1</v>
      </c>
      <c r="AP50" s="56"/>
      <c r="AQ50" s="184"/>
      <c r="AR50" s="186">
        <f>10700/60</f>
        <v>178.33333333333334</v>
      </c>
      <c r="AS50" s="190">
        <v>4.3</v>
      </c>
      <c r="AT50" s="86">
        <f t="shared" si="94"/>
        <v>4.6010000000000002E-2</v>
      </c>
      <c r="AU50" s="31">
        <v>0</v>
      </c>
      <c r="AV50" s="86">
        <f t="shared" si="106"/>
        <v>0</v>
      </c>
      <c r="AW50" s="214" t="s">
        <v>418</v>
      </c>
      <c r="AX50" s="56">
        <v>120.1</v>
      </c>
      <c r="AY50" s="190"/>
      <c r="AZ50" s="190"/>
      <c r="BA50" s="186">
        <f>10700/60</f>
        <v>178.33333333333334</v>
      </c>
      <c r="BB50" s="190">
        <v>4.3</v>
      </c>
      <c r="BC50" s="86">
        <f>BA50*(BB50)*60/1000000</f>
        <v>4.6010000000000002E-2</v>
      </c>
      <c r="BD50" s="190">
        <f>17*24</f>
        <v>408</v>
      </c>
      <c r="BE50" s="86">
        <f>BC50*BD50</f>
        <v>18.772080000000003</v>
      </c>
      <c r="BF50" s="214" t="s">
        <v>418</v>
      </c>
      <c r="BG50" s="56">
        <v>120.1</v>
      </c>
      <c r="BH50" s="190"/>
      <c r="BI50" s="190"/>
      <c r="BJ50" s="186">
        <f>10700/60</f>
        <v>178.33333333333334</v>
      </c>
      <c r="BK50" s="190">
        <v>4.3</v>
      </c>
      <c r="BL50" s="86">
        <f t="shared" si="96"/>
        <v>4.6010000000000002E-2</v>
      </c>
      <c r="BM50" s="52">
        <f>31*24-48</f>
        <v>696</v>
      </c>
      <c r="BN50" s="86">
        <f t="shared" si="108"/>
        <v>32.022960000000005</v>
      </c>
      <c r="BO50" s="214" t="s">
        <v>418</v>
      </c>
      <c r="BP50" s="56">
        <v>120.1</v>
      </c>
      <c r="BQ50" s="190"/>
      <c r="BR50" s="190"/>
      <c r="BS50" s="186">
        <f>10700/60</f>
        <v>178.33333333333334</v>
      </c>
      <c r="BT50" s="190">
        <v>4.3</v>
      </c>
      <c r="BU50" s="86">
        <f t="shared" si="97"/>
        <v>4.6010000000000002E-2</v>
      </c>
      <c r="BV50" s="190">
        <v>0</v>
      </c>
      <c r="BW50" s="86">
        <f t="shared" si="109"/>
        <v>0</v>
      </c>
      <c r="BX50" s="214" t="s">
        <v>418</v>
      </c>
      <c r="BY50" s="56">
        <v>120.1</v>
      </c>
      <c r="BZ50" s="190"/>
      <c r="CA50" s="190"/>
      <c r="CB50" s="186">
        <f>10700/60</f>
        <v>178.33333333333334</v>
      </c>
      <c r="CC50" s="190">
        <v>4.3</v>
      </c>
      <c r="CD50" s="86">
        <f t="shared" si="98"/>
        <v>4.6010000000000002E-2</v>
      </c>
      <c r="CE50" s="52">
        <v>0</v>
      </c>
      <c r="CF50" s="86">
        <f t="shared" si="110"/>
        <v>0</v>
      </c>
      <c r="CG50" s="214" t="s">
        <v>418</v>
      </c>
      <c r="CH50" s="56">
        <v>120.1</v>
      </c>
      <c r="CI50" s="56"/>
      <c r="CJ50" s="184"/>
      <c r="CK50" s="186">
        <f>10700/60</f>
        <v>178.33333333333334</v>
      </c>
      <c r="CL50" s="190">
        <v>4.3</v>
      </c>
      <c r="CM50" s="86">
        <f t="shared" si="99"/>
        <v>4.6010000000000002E-2</v>
      </c>
      <c r="CN50" s="31">
        <v>0</v>
      </c>
      <c r="CO50" s="86">
        <f t="shared" si="111"/>
        <v>0</v>
      </c>
      <c r="CP50" s="214" t="s">
        <v>418</v>
      </c>
      <c r="CQ50" s="56">
        <v>120.1</v>
      </c>
      <c r="CR50" s="56"/>
      <c r="CS50" s="184"/>
      <c r="CT50" s="186">
        <f>10700/60</f>
        <v>178.33333333333334</v>
      </c>
      <c r="CU50" s="190">
        <v>4.3</v>
      </c>
      <c r="CV50" s="86">
        <f t="shared" si="100"/>
        <v>4.6010000000000002E-2</v>
      </c>
      <c r="CW50" s="52">
        <v>0</v>
      </c>
      <c r="CX50" s="86">
        <f t="shared" si="112"/>
        <v>0</v>
      </c>
      <c r="CY50" s="214" t="s">
        <v>418</v>
      </c>
      <c r="CZ50" s="56">
        <v>120.1</v>
      </c>
      <c r="DA50" s="56"/>
      <c r="DB50" s="184"/>
      <c r="DC50" s="186">
        <f>10700/60</f>
        <v>178.33333333333334</v>
      </c>
      <c r="DD50" s="190">
        <v>4.3</v>
      </c>
      <c r="DE50" s="86">
        <f t="shared" si="101"/>
        <v>4.6010000000000002E-2</v>
      </c>
      <c r="DF50" s="52">
        <v>0</v>
      </c>
      <c r="DG50" s="86">
        <f t="shared" si="113"/>
        <v>0</v>
      </c>
      <c r="DH50" s="253"/>
      <c r="DI50" s="253"/>
      <c r="DJ50" s="253"/>
      <c r="DK50" s="253"/>
      <c r="DL50" s="253"/>
    </row>
    <row r="51" spans="1:116" ht="12" customHeight="1">
      <c r="A51" s="31" t="s">
        <v>289</v>
      </c>
      <c r="B51" s="31"/>
      <c r="C51" s="53">
        <v>0.8</v>
      </c>
      <c r="D51" s="214" t="s">
        <v>418</v>
      </c>
      <c r="E51" s="190">
        <v>117.5</v>
      </c>
      <c r="F51" s="56"/>
      <c r="G51" s="184"/>
      <c r="H51" s="186">
        <f>10560/60</f>
        <v>176</v>
      </c>
      <c r="I51" s="184">
        <v>5.8</v>
      </c>
      <c r="J51" s="186">
        <f t="shared" si="90"/>
        <v>6.1247999999999997E-2</v>
      </c>
      <c r="K51" s="189">
        <f t="shared" si="129"/>
        <v>424</v>
      </c>
      <c r="L51" s="186">
        <f t="shared" si="102"/>
        <v>25.969151999999998</v>
      </c>
      <c r="M51" s="214" t="s">
        <v>418</v>
      </c>
      <c r="N51" s="190">
        <v>117.5</v>
      </c>
      <c r="O51" s="56"/>
      <c r="P51" s="184"/>
      <c r="Q51" s="186">
        <f>10560/60</f>
        <v>176</v>
      </c>
      <c r="R51" s="184">
        <v>5.8</v>
      </c>
      <c r="S51" s="186">
        <f t="shared" si="91"/>
        <v>6.1247999999999997E-2</v>
      </c>
      <c r="T51" s="187">
        <v>0</v>
      </c>
      <c r="U51" s="186">
        <f t="shared" si="103"/>
        <v>0</v>
      </c>
      <c r="V51" s="214" t="s">
        <v>418</v>
      </c>
      <c r="W51" s="190">
        <v>117.5</v>
      </c>
      <c r="X51" s="56"/>
      <c r="Y51" s="184"/>
      <c r="Z51" s="186">
        <f>10560/60</f>
        <v>176</v>
      </c>
      <c r="AA51" s="184">
        <v>5.8</v>
      </c>
      <c r="AB51" s="186">
        <f t="shared" si="92"/>
        <v>6.1247999999999997E-2</v>
      </c>
      <c r="AC51" s="190">
        <f>25*24</f>
        <v>600</v>
      </c>
      <c r="AD51" s="186">
        <f t="shared" si="104"/>
        <v>36.748799999999996</v>
      </c>
      <c r="AE51" s="214" t="s">
        <v>418</v>
      </c>
      <c r="AF51" s="190">
        <v>117.5</v>
      </c>
      <c r="AG51" s="190"/>
      <c r="AH51" s="190"/>
      <c r="AI51" s="186">
        <f>10560/60</f>
        <v>176</v>
      </c>
      <c r="AJ51" s="184">
        <v>5.8</v>
      </c>
      <c r="AK51" s="86">
        <f t="shared" si="93"/>
        <v>6.1247999999999997E-2</v>
      </c>
      <c r="AL51" s="187">
        <f>30*24</f>
        <v>720</v>
      </c>
      <c r="AM51" s="86">
        <f t="shared" si="105"/>
        <v>44.098559999999999</v>
      </c>
      <c r="AN51" s="214" t="s">
        <v>418</v>
      </c>
      <c r="AO51" s="190">
        <v>117.5</v>
      </c>
      <c r="AP51" s="190"/>
      <c r="AQ51" s="190"/>
      <c r="AR51" s="186">
        <f>10560/60</f>
        <v>176</v>
      </c>
      <c r="AS51" s="184">
        <v>5.8</v>
      </c>
      <c r="AT51" s="86">
        <f t="shared" si="94"/>
        <v>6.1247999999999997E-2</v>
      </c>
      <c r="AU51" s="31">
        <f>31*24</f>
        <v>744</v>
      </c>
      <c r="AV51" s="86">
        <f t="shared" si="106"/>
        <v>45.568511999999998</v>
      </c>
      <c r="AW51" s="214" t="s">
        <v>422</v>
      </c>
      <c r="AX51" s="190">
        <v>109.3</v>
      </c>
      <c r="AY51" s="56"/>
      <c r="AZ51" s="184"/>
      <c r="BA51" s="186">
        <f>10560/60</f>
        <v>176</v>
      </c>
      <c r="BB51" s="184">
        <v>69.8</v>
      </c>
      <c r="BC51" s="86">
        <f t="shared" ref="BC51:BC53" si="130">BA51*(BB51)*60/1000000</f>
        <v>0.73708799999999997</v>
      </c>
      <c r="BD51" s="190">
        <f>30*24</f>
        <v>720</v>
      </c>
      <c r="BE51" s="86">
        <f t="shared" ref="BE51:BE52" si="131">BC51*BD51</f>
        <v>530.70335999999998</v>
      </c>
      <c r="BF51" s="214" t="s">
        <v>422</v>
      </c>
      <c r="BG51" s="190">
        <v>109.3</v>
      </c>
      <c r="BH51" s="56"/>
      <c r="BI51" s="184"/>
      <c r="BJ51" s="186">
        <f>10560/60</f>
        <v>176</v>
      </c>
      <c r="BK51" s="184">
        <v>69.8</v>
      </c>
      <c r="BL51" s="86">
        <f t="shared" si="96"/>
        <v>0.73708799999999997</v>
      </c>
      <c r="BM51" s="52">
        <f>31*24</f>
        <v>744</v>
      </c>
      <c r="BN51" s="86">
        <f t="shared" si="108"/>
        <v>548.39347199999997</v>
      </c>
      <c r="BO51" s="214" t="s">
        <v>422</v>
      </c>
      <c r="BP51" s="190">
        <v>109.3</v>
      </c>
      <c r="BQ51" s="56"/>
      <c r="BR51" s="184"/>
      <c r="BS51" s="186">
        <f>10560/60</f>
        <v>176</v>
      </c>
      <c r="BT51" s="184">
        <v>69.8</v>
      </c>
      <c r="BU51" s="86">
        <f t="shared" si="97"/>
        <v>0.73708799999999997</v>
      </c>
      <c r="BV51" s="190">
        <f>31*24</f>
        <v>744</v>
      </c>
      <c r="BW51" s="86">
        <f t="shared" si="109"/>
        <v>548.39347199999997</v>
      </c>
      <c r="BX51" s="214" t="s">
        <v>422</v>
      </c>
      <c r="BY51" s="190">
        <v>109.3</v>
      </c>
      <c r="BZ51" s="56"/>
      <c r="CA51" s="184"/>
      <c r="CB51" s="186">
        <f>10560/60</f>
        <v>176</v>
      </c>
      <c r="CC51" s="184">
        <v>69.8</v>
      </c>
      <c r="CD51" s="86">
        <f t="shared" si="98"/>
        <v>0.73708799999999997</v>
      </c>
      <c r="CE51" s="52">
        <f>30*24</f>
        <v>720</v>
      </c>
      <c r="CF51" s="86">
        <f t="shared" si="110"/>
        <v>530.70335999999998</v>
      </c>
      <c r="CG51" s="214" t="s">
        <v>422</v>
      </c>
      <c r="CH51" s="190">
        <v>109.3</v>
      </c>
      <c r="CI51" s="190"/>
      <c r="CJ51" s="190"/>
      <c r="CK51" s="186">
        <f>10560/60</f>
        <v>176</v>
      </c>
      <c r="CL51" s="184">
        <v>69.8</v>
      </c>
      <c r="CM51" s="86">
        <f t="shared" si="99"/>
        <v>0.73708799999999997</v>
      </c>
      <c r="CN51" s="31">
        <f t="shared" ref="CN51" si="132">31*24</f>
        <v>744</v>
      </c>
      <c r="CO51" s="86">
        <f t="shared" si="111"/>
        <v>548.39347199999997</v>
      </c>
      <c r="CP51" s="214" t="s">
        <v>422</v>
      </c>
      <c r="CQ51" s="190">
        <v>109.3</v>
      </c>
      <c r="CR51" s="190"/>
      <c r="CS51" s="190"/>
      <c r="CT51" s="186">
        <f>10560/60</f>
        <v>176</v>
      </c>
      <c r="CU51" s="184">
        <v>69.8</v>
      </c>
      <c r="CV51" s="86">
        <f t="shared" si="100"/>
        <v>0.73708799999999997</v>
      </c>
      <c r="CW51" s="52">
        <f>30*24</f>
        <v>720</v>
      </c>
      <c r="CX51" s="86">
        <f t="shared" si="112"/>
        <v>530.70335999999998</v>
      </c>
      <c r="CY51" s="214" t="s">
        <v>422</v>
      </c>
      <c r="CZ51" s="190">
        <v>109.3</v>
      </c>
      <c r="DA51" s="190"/>
      <c r="DB51" s="190"/>
      <c r="DC51" s="186">
        <f>10560/60</f>
        <v>176</v>
      </c>
      <c r="DD51" s="184">
        <v>69.8</v>
      </c>
      <c r="DE51" s="86">
        <f t="shared" si="101"/>
        <v>0.73708799999999997</v>
      </c>
      <c r="DF51" s="52">
        <f t="shared" ref="DF51" si="133">31*24</f>
        <v>744</v>
      </c>
      <c r="DG51" s="86">
        <f t="shared" si="113"/>
        <v>548.39347199999997</v>
      </c>
      <c r="DH51" s="253"/>
      <c r="DI51" s="253"/>
      <c r="DJ51" s="253"/>
      <c r="DK51" s="253"/>
      <c r="DL51" s="253"/>
    </row>
    <row r="52" spans="1:116" ht="12" customHeight="1">
      <c r="A52" s="31"/>
      <c r="B52" s="31"/>
      <c r="C52" s="53"/>
      <c r="D52" s="183"/>
      <c r="E52" s="56"/>
      <c r="F52" s="56"/>
      <c r="G52" s="184"/>
      <c r="H52" s="186"/>
      <c r="I52" s="184"/>
      <c r="J52" s="186">
        <f t="shared" si="90"/>
        <v>0</v>
      </c>
      <c r="K52" s="193"/>
      <c r="L52" s="186">
        <f t="shared" si="102"/>
        <v>0</v>
      </c>
      <c r="M52" s="183"/>
      <c r="N52" s="56"/>
      <c r="O52" s="56"/>
      <c r="P52" s="184"/>
      <c r="Q52" s="186"/>
      <c r="R52" s="184"/>
      <c r="S52" s="186">
        <f t="shared" si="91"/>
        <v>0</v>
      </c>
      <c r="T52" s="193"/>
      <c r="U52" s="186">
        <f t="shared" si="103"/>
        <v>0</v>
      </c>
      <c r="V52" s="183"/>
      <c r="W52" s="56"/>
      <c r="X52" s="56"/>
      <c r="Y52" s="184"/>
      <c r="Z52" s="186"/>
      <c r="AA52" s="184"/>
      <c r="AB52" s="186">
        <f t="shared" si="92"/>
        <v>0</v>
      </c>
      <c r="AC52" s="193"/>
      <c r="AD52" s="186">
        <f t="shared" si="104"/>
        <v>0</v>
      </c>
      <c r="AE52" s="191"/>
      <c r="AF52" s="56"/>
      <c r="AG52" s="56"/>
      <c r="AH52" s="184"/>
      <c r="AI52" s="184"/>
      <c r="AJ52" s="190"/>
      <c r="AK52" s="86">
        <f t="shared" si="93"/>
        <v>0</v>
      </c>
      <c r="AL52" s="52"/>
      <c r="AM52" s="86">
        <f t="shared" si="105"/>
        <v>0</v>
      </c>
      <c r="AN52" s="191"/>
      <c r="AO52" s="56"/>
      <c r="AP52" s="56"/>
      <c r="AQ52" s="184"/>
      <c r="AR52" s="184"/>
      <c r="AS52" s="190"/>
      <c r="AT52" s="86">
        <f t="shared" si="94"/>
        <v>0</v>
      </c>
      <c r="AU52" s="31"/>
      <c r="AV52" s="86">
        <f t="shared" si="106"/>
        <v>0</v>
      </c>
      <c r="AW52" s="191"/>
      <c r="AX52" s="56"/>
      <c r="AY52" s="56"/>
      <c r="AZ52" s="184"/>
      <c r="BA52" s="184"/>
      <c r="BB52" s="190"/>
      <c r="BC52" s="86">
        <f t="shared" si="130"/>
        <v>0</v>
      </c>
      <c r="BD52" s="31"/>
      <c r="BE52" s="86">
        <f t="shared" si="131"/>
        <v>0</v>
      </c>
      <c r="BF52" s="191"/>
      <c r="BG52" s="56"/>
      <c r="BH52" s="56"/>
      <c r="BI52" s="184"/>
      <c r="BJ52" s="184"/>
      <c r="BK52" s="190"/>
      <c r="BL52" s="86">
        <f t="shared" si="96"/>
        <v>0</v>
      </c>
      <c r="BM52" s="82"/>
      <c r="BN52" s="86">
        <f t="shared" si="108"/>
        <v>0</v>
      </c>
      <c r="BO52" s="191"/>
      <c r="BP52" s="56"/>
      <c r="BQ52" s="56"/>
      <c r="BR52" s="184"/>
      <c r="BS52" s="184"/>
      <c r="BT52" s="190"/>
      <c r="BU52" s="86">
        <f t="shared" si="97"/>
        <v>0</v>
      </c>
      <c r="BV52" s="31"/>
      <c r="BW52" s="86">
        <f t="shared" si="109"/>
        <v>0</v>
      </c>
      <c r="BX52" s="191"/>
      <c r="BY52" s="56"/>
      <c r="BZ52" s="56"/>
      <c r="CA52" s="184"/>
      <c r="CB52" s="184"/>
      <c r="CC52" s="190"/>
      <c r="CD52" s="86">
        <f t="shared" si="98"/>
        <v>0</v>
      </c>
      <c r="CE52" s="52"/>
      <c r="CF52" s="86">
        <f t="shared" si="110"/>
        <v>0</v>
      </c>
      <c r="CG52" s="191"/>
      <c r="CH52" s="56"/>
      <c r="CI52" s="56"/>
      <c r="CJ52" s="184"/>
      <c r="CK52" s="184"/>
      <c r="CL52" s="190"/>
      <c r="CM52" s="86">
        <f t="shared" si="99"/>
        <v>0</v>
      </c>
      <c r="CN52" s="31"/>
      <c r="CO52" s="86">
        <f t="shared" si="111"/>
        <v>0</v>
      </c>
      <c r="CP52" s="191"/>
      <c r="CQ52" s="56"/>
      <c r="CR52" s="56"/>
      <c r="CS52" s="184"/>
      <c r="CT52" s="184"/>
      <c r="CU52" s="190"/>
      <c r="CV52" s="86">
        <f t="shared" si="100"/>
        <v>0</v>
      </c>
      <c r="CW52" s="52"/>
      <c r="CX52" s="86">
        <f t="shared" si="112"/>
        <v>0</v>
      </c>
      <c r="CY52" s="183"/>
      <c r="CZ52" s="56"/>
      <c r="DA52" s="56"/>
      <c r="DB52" s="184"/>
      <c r="DC52" s="186"/>
      <c r="DD52" s="188"/>
      <c r="DE52" s="86">
        <f t="shared" si="101"/>
        <v>0</v>
      </c>
      <c r="DF52" s="52"/>
      <c r="DG52" s="86">
        <f t="shared" si="113"/>
        <v>0</v>
      </c>
      <c r="DH52" s="253"/>
      <c r="DI52" s="253"/>
      <c r="DJ52" s="253"/>
      <c r="DK52" s="253"/>
      <c r="DL52" s="253"/>
    </row>
    <row r="53" spans="1:116" ht="12" customHeight="1">
      <c r="B53" s="31"/>
      <c r="C53" s="31"/>
      <c r="D53" s="194"/>
      <c r="E53" s="190"/>
      <c r="F53" s="56"/>
      <c r="G53" s="184"/>
      <c r="H53" s="186">
        <f t="shared" ref="H53" si="134">((PI()*($C53^2))/4*G53*60)</f>
        <v>0</v>
      </c>
      <c r="I53" s="186"/>
      <c r="J53" s="186">
        <f t="shared" si="90"/>
        <v>0</v>
      </c>
      <c r="K53" s="190"/>
      <c r="L53" s="186">
        <f t="shared" si="102"/>
        <v>0</v>
      </c>
      <c r="M53" s="194"/>
      <c r="N53" s="190"/>
      <c r="O53" s="56"/>
      <c r="P53" s="184"/>
      <c r="Q53" s="186">
        <f t="shared" ref="Q53" si="135">((PI()*($C53^2))/4*P53*60)</f>
        <v>0</v>
      </c>
      <c r="R53" s="186"/>
      <c r="S53" s="186">
        <f t="shared" si="91"/>
        <v>0</v>
      </c>
      <c r="T53" s="190"/>
      <c r="U53" s="186">
        <f t="shared" si="103"/>
        <v>0</v>
      </c>
      <c r="V53" s="194"/>
      <c r="W53" s="190"/>
      <c r="X53" s="56"/>
      <c r="Y53" s="184"/>
      <c r="Z53" s="186">
        <f t="shared" ref="Z53" si="136">((PI()*($C53^2))/4*Y53*60)</f>
        <v>0</v>
      </c>
      <c r="AA53" s="186"/>
      <c r="AB53" s="186">
        <f t="shared" si="92"/>
        <v>0</v>
      </c>
      <c r="AC53" s="190"/>
      <c r="AD53" s="186">
        <f t="shared" si="104"/>
        <v>0</v>
      </c>
      <c r="AE53" s="55"/>
      <c r="AF53" s="53"/>
      <c r="AG53" s="53"/>
      <c r="AH53" s="85"/>
      <c r="AI53" s="86">
        <f t="shared" ref="AI53" si="137">((PI()*($C53^2))/4*AH53*60)</f>
        <v>0</v>
      </c>
      <c r="AJ53" s="86"/>
      <c r="AK53" s="86">
        <f t="shared" si="93"/>
        <v>0</v>
      </c>
      <c r="AL53" s="31"/>
      <c r="AM53" s="86">
        <f t="shared" si="105"/>
        <v>0</v>
      </c>
      <c r="AN53" s="55"/>
      <c r="AO53" s="53"/>
      <c r="AP53" s="53"/>
      <c r="AQ53" s="85"/>
      <c r="AR53" s="86">
        <f t="shared" ref="AR53" si="138">((PI()*($C53^2))/4*AQ53*60)</f>
        <v>0</v>
      </c>
      <c r="AS53" s="86"/>
      <c r="AT53" s="86">
        <f t="shared" si="94"/>
        <v>0</v>
      </c>
      <c r="AU53" s="31"/>
      <c r="AV53" s="86">
        <f t="shared" si="106"/>
        <v>0</v>
      </c>
      <c r="AW53" s="55"/>
      <c r="AX53" s="53"/>
      <c r="AY53" s="53"/>
      <c r="AZ53" s="85"/>
      <c r="BA53" s="86">
        <f t="shared" ref="BA53" si="139">((PI()*($C53^2))/4*AZ53*60)</f>
        <v>0</v>
      </c>
      <c r="BB53" s="86"/>
      <c r="BC53" s="86">
        <f t="shared" si="130"/>
        <v>0</v>
      </c>
      <c r="BD53" s="31"/>
      <c r="BE53" s="86">
        <f t="shared" si="107"/>
        <v>0</v>
      </c>
      <c r="BF53" s="55"/>
      <c r="BG53" s="53"/>
      <c r="BH53" s="53"/>
      <c r="BI53" s="85"/>
      <c r="BJ53" s="86">
        <f t="shared" ref="BJ53" si="140">((PI()*($C53^2))/4*BI53*60)</f>
        <v>0</v>
      </c>
      <c r="BK53" s="86"/>
      <c r="BL53" s="86">
        <f t="shared" si="96"/>
        <v>0</v>
      </c>
      <c r="BM53" s="31"/>
      <c r="BN53" s="86">
        <f t="shared" si="108"/>
        <v>0</v>
      </c>
      <c r="BO53" s="55"/>
      <c r="BP53" s="53"/>
      <c r="BQ53" s="53"/>
      <c r="BR53" s="85"/>
      <c r="BS53" s="86">
        <f t="shared" ref="BS53" si="141">((PI()*($C53^2))/4*BR53*60)</f>
        <v>0</v>
      </c>
      <c r="BT53" s="86"/>
      <c r="BU53" s="86">
        <f t="shared" si="97"/>
        <v>0</v>
      </c>
      <c r="BV53" s="31"/>
      <c r="BW53" s="86">
        <f t="shared" si="109"/>
        <v>0</v>
      </c>
      <c r="BX53" s="55"/>
      <c r="BY53" s="53"/>
      <c r="BZ53" s="53"/>
      <c r="CA53" s="85"/>
      <c r="CB53" s="86">
        <f t="shared" ref="CB53" si="142">((PI()*($C53^2))/4*CA53*60)</f>
        <v>0</v>
      </c>
      <c r="CC53" s="86"/>
      <c r="CD53" s="86">
        <f t="shared" si="98"/>
        <v>0</v>
      </c>
      <c r="CE53" s="31"/>
      <c r="CF53" s="86">
        <f t="shared" si="110"/>
        <v>0</v>
      </c>
      <c r="CG53" s="55"/>
      <c r="CH53" s="53"/>
      <c r="CI53" s="53"/>
      <c r="CJ53" s="85"/>
      <c r="CK53" s="86">
        <f t="shared" ref="CK53" si="143">((PI()*($C53^2))/4*CJ53*60)</f>
        <v>0</v>
      </c>
      <c r="CL53" s="86"/>
      <c r="CM53" s="86">
        <f t="shared" si="99"/>
        <v>0</v>
      </c>
      <c r="CN53" s="31"/>
      <c r="CO53" s="86">
        <f t="shared" si="111"/>
        <v>0</v>
      </c>
      <c r="CP53" s="55"/>
      <c r="CQ53" s="53"/>
      <c r="CR53" s="53"/>
      <c r="CS53" s="85"/>
      <c r="CT53" s="86">
        <f t="shared" ref="CT53" si="144">((PI()*($C53^2))/4*CS53*60)</f>
        <v>0</v>
      </c>
      <c r="CU53" s="86"/>
      <c r="CV53" s="86">
        <f t="shared" si="100"/>
        <v>0</v>
      </c>
      <c r="CW53" s="31"/>
      <c r="CX53" s="86">
        <f t="shared" si="112"/>
        <v>0</v>
      </c>
      <c r="CY53" s="55"/>
      <c r="CZ53" s="53"/>
      <c r="DA53" s="53"/>
      <c r="DB53" s="85"/>
      <c r="DC53" s="86">
        <f t="shared" ref="DC53" si="145">((PI()*($C53^2))/4*DB53*60)</f>
        <v>0</v>
      </c>
      <c r="DD53" s="86"/>
      <c r="DE53" s="86">
        <f t="shared" si="101"/>
        <v>0</v>
      </c>
      <c r="DF53" s="31"/>
      <c r="DG53" s="86">
        <f t="shared" si="113"/>
        <v>0</v>
      </c>
      <c r="DH53" s="253"/>
      <c r="DI53" s="253"/>
      <c r="DJ53" s="253"/>
      <c r="DK53" s="253"/>
      <c r="DL53" s="253"/>
    </row>
    <row r="54" spans="1:116" ht="13.5">
      <c r="A54" s="256" t="s">
        <v>170</v>
      </c>
      <c r="B54" s="256"/>
      <c r="C54" s="256"/>
      <c r="D54" s="45"/>
      <c r="E54" s="45"/>
      <c r="F54" s="45"/>
      <c r="G54" s="48"/>
      <c r="H54" s="48"/>
      <c r="I54" s="48"/>
      <c r="J54" s="48"/>
      <c r="K54" s="49"/>
      <c r="L54" s="50">
        <f>SUM(L41:L53)</f>
        <v>519.16567999999995</v>
      </c>
      <c r="M54" s="45"/>
      <c r="N54" s="45"/>
      <c r="O54" s="45"/>
      <c r="P54" s="48"/>
      <c r="Q54" s="48"/>
      <c r="R54" s="48"/>
      <c r="S54" s="48"/>
      <c r="T54" s="49"/>
      <c r="U54" s="50">
        <f>SUM(U41:U53)</f>
        <v>288.88283999999999</v>
      </c>
      <c r="V54" s="45"/>
      <c r="W54" s="45"/>
      <c r="X54" s="45"/>
      <c r="Y54" s="48"/>
      <c r="Z54" s="48"/>
      <c r="AA54" s="48"/>
      <c r="AB54" s="48"/>
      <c r="AC54" s="49"/>
      <c r="AD54" s="50">
        <f>SUM(AD41:AD53)</f>
        <v>810.29785599999991</v>
      </c>
      <c r="AE54" s="45"/>
      <c r="AF54" s="45"/>
      <c r="AG54" s="45"/>
      <c r="AH54" s="48"/>
      <c r="AI54" s="48"/>
      <c r="AJ54" s="48"/>
      <c r="AK54" s="48"/>
      <c r="AL54" s="49"/>
      <c r="AM54" s="50">
        <f>SUM(AM41:AM53)</f>
        <v>811.91327999999999</v>
      </c>
      <c r="AN54" s="45"/>
      <c r="AO54" s="45"/>
      <c r="AP54" s="45"/>
      <c r="AQ54" s="48"/>
      <c r="AR54" s="48"/>
      <c r="AS54" s="48"/>
      <c r="AT54" s="48"/>
      <c r="AU54" s="49"/>
      <c r="AV54" s="50">
        <f>SUM(AV41:AV53)</f>
        <v>835.77575200000001</v>
      </c>
      <c r="AW54" s="45"/>
      <c r="AX54" s="45"/>
      <c r="AY54" s="45"/>
      <c r="AZ54" s="48"/>
      <c r="BA54" s="48"/>
      <c r="BB54" s="48"/>
      <c r="BC54" s="48"/>
      <c r="BD54" s="49"/>
      <c r="BE54" s="50">
        <f>SUM(BE41:BE53)</f>
        <v>10440.97054</v>
      </c>
      <c r="BF54" s="45"/>
      <c r="BG54" s="45"/>
      <c r="BH54" s="45"/>
      <c r="BI54" s="48"/>
      <c r="BJ54" s="48"/>
      <c r="BK54" s="48"/>
      <c r="BL54" s="48"/>
      <c r="BM54" s="49"/>
      <c r="BN54" s="50">
        <f>SUM(BN41:BN53)</f>
        <v>11381.368211999999</v>
      </c>
      <c r="BO54" s="45"/>
      <c r="BP54" s="45"/>
      <c r="BQ54" s="45"/>
      <c r="BR54" s="48"/>
      <c r="BS54" s="48"/>
      <c r="BT54" s="48"/>
      <c r="BU54" s="48"/>
      <c r="BV54" s="49"/>
      <c r="BW54" s="50">
        <f>SUM(BW41:BW53)</f>
        <v>10422.071752</v>
      </c>
      <c r="BX54" s="45"/>
      <c r="BY54" s="45"/>
      <c r="BZ54" s="45"/>
      <c r="CA54" s="48"/>
      <c r="CB54" s="48"/>
      <c r="CC54" s="48"/>
      <c r="CD54" s="48"/>
      <c r="CE54" s="49"/>
      <c r="CF54" s="50">
        <f>SUM(CF41:CF53)</f>
        <v>9780.2266600000003</v>
      </c>
      <c r="CG54" s="45"/>
      <c r="CH54" s="45"/>
      <c r="CI54" s="45"/>
      <c r="CJ54" s="48"/>
      <c r="CK54" s="48"/>
      <c r="CL54" s="48"/>
      <c r="CM54" s="48"/>
      <c r="CN54" s="49"/>
      <c r="CO54" s="50">
        <f>SUM(CO41:CO53)</f>
        <v>9189.5261280000013</v>
      </c>
      <c r="CP54" s="45"/>
      <c r="CQ54" s="45"/>
      <c r="CR54" s="45"/>
      <c r="CS54" s="48"/>
      <c r="CT54" s="48"/>
      <c r="CU54" s="48"/>
      <c r="CV54" s="48"/>
      <c r="CW54" s="49"/>
      <c r="CX54" s="50">
        <f>SUM(CX41:CX53)</f>
        <v>10005.522639999999</v>
      </c>
      <c r="CY54" s="45"/>
      <c r="CZ54" s="45"/>
      <c r="DA54" s="45"/>
      <c r="DB54" s="48"/>
      <c r="DC54" s="48"/>
      <c r="DD54" s="48"/>
      <c r="DE54" s="48"/>
      <c r="DF54" s="49"/>
      <c r="DG54" s="50">
        <f>SUM(DG41:DG53)</f>
        <v>10887.640288000001</v>
      </c>
      <c r="DH54" s="47">
        <f>L54+U54+AD54+AM54+AV54+BE54+BN54+BW54+CF54+CO54+CX54+DG54</f>
        <v>75373.361627999984</v>
      </c>
      <c r="DI54" s="47">
        <f>L54+U54+AD54</f>
        <v>1618.346376</v>
      </c>
      <c r="DJ54" s="47">
        <f>AM54+AV54+BE54</f>
        <v>12088.659572</v>
      </c>
      <c r="DK54" s="47">
        <f>BN54+BW54+CF54</f>
        <v>31583.666623999998</v>
      </c>
      <c r="DL54" s="47">
        <f>CO54+CX54+DG54</f>
        <v>30082.689056000003</v>
      </c>
    </row>
    <row r="55" spans="1:116" s="34" customFormat="1" ht="13.5">
      <c r="A55" s="257" t="s">
        <v>237</v>
      </c>
      <c r="B55" s="257"/>
      <c r="C55" s="257"/>
      <c r="D55" s="45"/>
      <c r="E55" s="45"/>
      <c r="F55" s="45"/>
      <c r="G55" s="45"/>
      <c r="H55" s="45"/>
      <c r="I55" s="45"/>
      <c r="J55" s="45"/>
      <c r="K55" s="46"/>
      <c r="L55" s="47">
        <f>L54*1000/'[2]Production, Raw Mat'!C$3</f>
        <v>54.023871763491321</v>
      </c>
      <c r="M55" s="45"/>
      <c r="N55" s="45"/>
      <c r="O55" s="45"/>
      <c r="P55" s="45"/>
      <c r="Q55" s="45"/>
      <c r="R55" s="45"/>
      <c r="S55" s="45"/>
      <c r="T55" s="46"/>
      <c r="U55" s="47">
        <f>U54*1000/'Production, Raw Mat'!D5</f>
        <v>45.781162405376037</v>
      </c>
      <c r="V55" s="45"/>
      <c r="W55" s="45"/>
      <c r="X55" s="45"/>
      <c r="Y55" s="45"/>
      <c r="Z55" s="45"/>
      <c r="AA55" s="45"/>
      <c r="AB55" s="45"/>
      <c r="AC55" s="46"/>
      <c r="AD55" s="47">
        <f>AD54/'Production, Raw Mat'!E5*1000</f>
        <v>45.694415407723106</v>
      </c>
      <c r="AE55" s="45"/>
      <c r="AF55" s="45"/>
      <c r="AG55" s="45"/>
      <c r="AH55" s="45"/>
      <c r="AI55" s="45"/>
      <c r="AJ55" s="45"/>
      <c r="AK55" s="45"/>
      <c r="AL55" s="46"/>
      <c r="AM55" s="47">
        <f>AM54/'Production, Raw Mat'!F5*1000</f>
        <v>51.401701385158432</v>
      </c>
      <c r="AN55" s="45"/>
      <c r="AO55" s="45"/>
      <c r="AP55" s="45"/>
      <c r="AQ55" s="45"/>
      <c r="AR55" s="45"/>
      <c r="AS55" s="45"/>
      <c r="AT55" s="45"/>
      <c r="AU55" s="46"/>
      <c r="AV55" s="47">
        <f>AV54/'Production, Raw Mat'!G5*1000</f>
        <v>51.937991033872088</v>
      </c>
      <c r="AW55" s="45"/>
      <c r="AX55" s="45"/>
      <c r="AY55" s="45"/>
      <c r="AZ55" s="45"/>
      <c r="BA55" s="45"/>
      <c r="BB55" s="45"/>
      <c r="BC55" s="45"/>
      <c r="BD55" s="46"/>
      <c r="BE55" s="222">
        <f>BE54/'Production, Raw Mat'!H5*1000</f>
        <v>636.33352417840206</v>
      </c>
      <c r="BF55" s="45"/>
      <c r="BG55" s="45"/>
      <c r="BH55" s="45"/>
      <c r="BI55" s="45"/>
      <c r="BJ55" s="45"/>
      <c r="BK55" s="45"/>
      <c r="BL55" s="45"/>
      <c r="BM55" s="46"/>
      <c r="BN55" s="47">
        <f>BN54/'Production, Raw Mat'!I5*1000</f>
        <v>616.73179317809434</v>
      </c>
      <c r="BO55" s="45"/>
      <c r="BP55" s="45"/>
      <c r="BQ55" s="45"/>
      <c r="BR55" s="45"/>
      <c r="BS55" s="45"/>
      <c r="BT55" s="45"/>
      <c r="BU55" s="45"/>
      <c r="BV55" s="46"/>
      <c r="BW55" s="47">
        <f>BW54/'Production, Raw Mat'!J5*1000</f>
        <v>644.14770872367217</v>
      </c>
      <c r="BX55" s="45"/>
      <c r="BY55" s="45"/>
      <c r="BZ55" s="45"/>
      <c r="CA55" s="45"/>
      <c r="CB55" s="45"/>
      <c r="CC55" s="45"/>
      <c r="CD55" s="45"/>
      <c r="CE55" s="46"/>
      <c r="CF55" s="47">
        <f>CF54/'Production, Raw Mat'!K5*1000</f>
        <v>805.83503047989154</v>
      </c>
      <c r="CG55" s="45"/>
      <c r="CH55" s="45"/>
      <c r="CI55" s="45"/>
      <c r="CJ55" s="45"/>
      <c r="CK55" s="45"/>
      <c r="CL55" s="45"/>
      <c r="CM55" s="45"/>
      <c r="CN55" s="46"/>
      <c r="CO55" s="47">
        <f>CO54/'Production, Raw Mat'!L5*1000</f>
        <v>737.23571512647266</v>
      </c>
      <c r="CP55" s="45"/>
      <c r="CQ55" s="45"/>
      <c r="CR55" s="45"/>
      <c r="CS55" s="45"/>
      <c r="CT55" s="45"/>
      <c r="CU55" s="45"/>
      <c r="CV55" s="45"/>
      <c r="CW55" s="46"/>
      <c r="CX55" s="47">
        <f>CX54/'Production, Raw Mat'!M3*1000</f>
        <v>811.86339445658348</v>
      </c>
      <c r="CY55" s="45"/>
      <c r="CZ55" s="45"/>
      <c r="DA55" s="45"/>
      <c r="DB55" s="45"/>
      <c r="DC55" s="45"/>
      <c r="DD55" s="45"/>
      <c r="DE55" s="45"/>
      <c r="DF55" s="46"/>
      <c r="DG55" s="47">
        <f>DG54/'Production, Raw Mat'!N5*1000</f>
        <v>680.31015220656263</v>
      </c>
      <c r="DH55" s="47">
        <f>DH54*1000/'[2]Production, Raw Mat'!O$5</f>
        <v>7843.278128427768</v>
      </c>
      <c r="DI55" s="47">
        <f>DI54*1000/'[2]Production, Raw Mat'!P$5</f>
        <v>168.40353754881278</v>
      </c>
      <c r="DJ55" s="47" t="e">
        <f>DJ54*1000/'[2]Production, Raw Mat'!Q$5</f>
        <v>#DIV/0!</v>
      </c>
      <c r="DK55" s="47" t="e">
        <f>DK54*1000/'[2]Production, Raw Mat'!R$5</f>
        <v>#DIV/0!</v>
      </c>
      <c r="DL55" s="47" t="e">
        <f>DL54*1000/'[2]Production, Raw Mat'!S$5</f>
        <v>#DIV/0!</v>
      </c>
    </row>
  </sheetData>
  <mergeCells count="66">
    <mergeCell ref="DK38:DK53"/>
    <mergeCell ref="DL38:DL53"/>
    <mergeCell ref="A39:A40"/>
    <mergeCell ref="B39:B40"/>
    <mergeCell ref="A54:C54"/>
    <mergeCell ref="DI38:DI53"/>
    <mergeCell ref="DJ38:DJ53"/>
    <mergeCell ref="A55:C55"/>
    <mergeCell ref="CG38:CO38"/>
    <mergeCell ref="CP38:CX38"/>
    <mergeCell ref="CY38:DG38"/>
    <mergeCell ref="DH38:DH53"/>
    <mergeCell ref="AE38:AM38"/>
    <mergeCell ref="AN38:AV38"/>
    <mergeCell ref="AW38:BE38"/>
    <mergeCell ref="BF38:BN38"/>
    <mergeCell ref="BO38:BW38"/>
    <mergeCell ref="BX38:CF38"/>
    <mergeCell ref="V38:AD38"/>
    <mergeCell ref="A35:C35"/>
    <mergeCell ref="A36:C36"/>
    <mergeCell ref="A38:C38"/>
    <mergeCell ref="D38:L38"/>
    <mergeCell ref="M38:U38"/>
    <mergeCell ref="DI20:DI34"/>
    <mergeCell ref="DJ20:DJ34"/>
    <mergeCell ref="DK20:DK34"/>
    <mergeCell ref="DL20:DL34"/>
    <mergeCell ref="A21:A22"/>
    <mergeCell ref="B21:B22"/>
    <mergeCell ref="BO20:BW20"/>
    <mergeCell ref="BX20:CF20"/>
    <mergeCell ref="CG20:CO20"/>
    <mergeCell ref="CP20:CX20"/>
    <mergeCell ref="CY20:DG20"/>
    <mergeCell ref="DH20:DH34"/>
    <mergeCell ref="M20:U20"/>
    <mergeCell ref="V20:AD20"/>
    <mergeCell ref="AE20:AM20"/>
    <mergeCell ref="AN20:AV20"/>
    <mergeCell ref="AW20:BE20"/>
    <mergeCell ref="BF20:BN20"/>
    <mergeCell ref="A3:A4"/>
    <mergeCell ref="B3:B4"/>
    <mergeCell ref="A17:C17"/>
    <mergeCell ref="A18:C18"/>
    <mergeCell ref="A20:C20"/>
    <mergeCell ref="D20:L20"/>
    <mergeCell ref="DL2:DL16"/>
    <mergeCell ref="AW2:BE2"/>
    <mergeCell ref="BF2:BN2"/>
    <mergeCell ref="BO2:BW2"/>
    <mergeCell ref="BX2:CF2"/>
    <mergeCell ref="CG2:CO2"/>
    <mergeCell ref="CP2:CX2"/>
    <mergeCell ref="CY2:DG2"/>
    <mergeCell ref="DH2:DH16"/>
    <mergeCell ref="DI2:DI16"/>
    <mergeCell ref="DJ2:DJ16"/>
    <mergeCell ref="DK2:DK16"/>
    <mergeCell ref="AN2:AV2"/>
    <mergeCell ref="A2:C2"/>
    <mergeCell ref="D2:L2"/>
    <mergeCell ref="M2:U2"/>
    <mergeCell ref="V2:AD2"/>
    <mergeCell ref="AE2:AM2"/>
  </mergeCell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00B0F0"/>
  </sheetPr>
  <dimension ref="A2:V133"/>
  <sheetViews>
    <sheetView topLeftCell="A2" zoomScale="90" zoomScaleNormal="90" workbookViewId="0">
      <pane xSplit="2" ySplit="1" topLeftCell="C77" activePane="bottomRight" state="frozen"/>
      <selection activeCell="D26" sqref="D26"/>
      <selection pane="topRight" activeCell="D26" sqref="D26"/>
      <selection pane="bottomLeft" activeCell="D26" sqref="D26"/>
      <selection pane="bottomRight" activeCell="C91" sqref="C91:K91"/>
    </sheetView>
  </sheetViews>
  <sheetFormatPr defaultColWidth="8.7109375" defaultRowHeight="12"/>
  <cols>
    <col min="1" max="1" width="41.7109375" style="132" customWidth="1"/>
    <col min="2" max="2" width="10.140625" style="132" bestFit="1" customWidth="1"/>
    <col min="3" max="3" width="11.140625" style="132" bestFit="1" customWidth="1"/>
    <col min="4" max="4" width="13" style="132" customWidth="1"/>
    <col min="5" max="14" width="11.140625" style="132" bestFit="1" customWidth="1"/>
    <col min="15" max="15" width="12.140625" style="132" bestFit="1" customWidth="1"/>
    <col min="16" max="19" width="11.140625" style="132" bestFit="1" customWidth="1"/>
    <col min="20" max="20" width="3" style="157" bestFit="1" customWidth="1"/>
    <col min="21" max="21" width="7" style="157" bestFit="1" customWidth="1"/>
    <col min="22" max="16384" width="8.7109375" style="132"/>
  </cols>
  <sheetData>
    <row r="2" spans="1:21" s="142" customFormat="1">
      <c r="A2" s="126" t="s">
        <v>121</v>
      </c>
      <c r="B2" s="126" t="s">
        <v>73</v>
      </c>
      <c r="C2" s="126" t="s">
        <v>74</v>
      </c>
      <c r="D2" s="126" t="s">
        <v>75</v>
      </c>
      <c r="E2" s="126" t="s">
        <v>76</v>
      </c>
      <c r="F2" s="126" t="s">
        <v>77</v>
      </c>
      <c r="G2" s="126" t="s">
        <v>78</v>
      </c>
      <c r="H2" s="126" t="s">
        <v>79</v>
      </c>
      <c r="I2" s="126" t="s">
        <v>80</v>
      </c>
      <c r="J2" s="126" t="s">
        <v>81</v>
      </c>
      <c r="K2" s="126" t="s">
        <v>82</v>
      </c>
      <c r="L2" s="126" t="s">
        <v>83</v>
      </c>
      <c r="M2" s="126" t="s">
        <v>84</v>
      </c>
      <c r="N2" s="126" t="s">
        <v>85</v>
      </c>
      <c r="O2" s="141" t="s">
        <v>86</v>
      </c>
      <c r="P2" s="141" t="s">
        <v>87</v>
      </c>
      <c r="Q2" s="141" t="s">
        <v>88</v>
      </c>
      <c r="R2" s="141" t="s">
        <v>89</v>
      </c>
      <c r="S2" s="141" t="s">
        <v>90</v>
      </c>
      <c r="T2" s="170"/>
      <c r="U2" s="157"/>
    </row>
    <row r="3" spans="1:21">
      <c r="A3" s="195" t="s">
        <v>310</v>
      </c>
      <c r="B3" s="195" t="s">
        <v>101</v>
      </c>
      <c r="C3" s="196"/>
      <c r="D3" s="196"/>
      <c r="E3" s="195"/>
      <c r="F3" s="195"/>
      <c r="G3" s="195"/>
      <c r="H3" s="195"/>
      <c r="I3" s="195"/>
      <c r="J3" s="195"/>
      <c r="K3" s="195"/>
      <c r="L3" s="195"/>
      <c r="M3" s="195"/>
      <c r="N3" s="195"/>
      <c r="O3" s="195"/>
      <c r="P3" s="195">
        <f>SUM(C3:E3)</f>
        <v>0</v>
      </c>
      <c r="Q3" s="195">
        <f>SUM(F3:H3)</f>
        <v>0</v>
      </c>
      <c r="R3" s="195">
        <f t="shared" ref="R3:R10" si="0">SUM(I3:K3)</f>
        <v>0</v>
      </c>
      <c r="S3" s="195">
        <f t="shared" ref="S3:S10" si="1">SUM(L3:N3)</f>
        <v>0</v>
      </c>
      <c r="T3" s="168"/>
    </row>
    <row r="4" spans="1:21">
      <c r="A4" s="195" t="s">
        <v>311</v>
      </c>
      <c r="B4" s="195" t="s">
        <v>101</v>
      </c>
      <c r="C4" s="196">
        <v>443</v>
      </c>
      <c r="D4" s="196">
        <f>251250/1000</f>
        <v>251.25</v>
      </c>
      <c r="E4" s="195">
        <f>543069/1000</f>
        <v>543.06899999999996</v>
      </c>
      <c r="F4" s="195">
        <f>88335/1000</f>
        <v>88.334999999999994</v>
      </c>
      <c r="G4" s="195">
        <f>774190/1000</f>
        <v>774.19</v>
      </c>
      <c r="H4" s="195">
        <f>319418/1000</f>
        <v>319.41800000000001</v>
      </c>
      <c r="I4" s="195">
        <f>508880/1000</f>
        <v>508.88</v>
      </c>
      <c r="J4" s="195">
        <f>630609/1000</f>
        <v>630.60900000000004</v>
      </c>
      <c r="K4" s="195">
        <f>444559/1000</f>
        <v>444.55900000000003</v>
      </c>
      <c r="L4" s="195"/>
      <c r="M4" s="195"/>
      <c r="N4" s="195"/>
      <c r="O4" s="195"/>
      <c r="P4" s="195">
        <f t="shared" ref="P4:P9" si="2">SUM(C4:E4)</f>
        <v>1237.319</v>
      </c>
      <c r="Q4" s="195">
        <f t="shared" ref="Q4:Q10" si="3">SUM(F4:H4)</f>
        <v>1181.9430000000002</v>
      </c>
      <c r="R4" s="195">
        <f t="shared" si="0"/>
        <v>1584.048</v>
      </c>
      <c r="S4" s="195">
        <f t="shared" si="1"/>
        <v>0</v>
      </c>
      <c r="T4" s="168"/>
    </row>
    <row r="5" spans="1:21">
      <c r="A5" s="195" t="s">
        <v>346</v>
      </c>
      <c r="B5" s="195" t="s">
        <v>101</v>
      </c>
      <c r="C5" s="196">
        <v>0</v>
      </c>
      <c r="D5" s="196">
        <f>92480/1000</f>
        <v>92.48</v>
      </c>
      <c r="E5" s="195">
        <f>430117/1000</f>
        <v>430.11700000000002</v>
      </c>
      <c r="F5" s="195">
        <f>722734/1000</f>
        <v>722.73400000000004</v>
      </c>
      <c r="G5" s="195">
        <v>0</v>
      </c>
      <c r="H5" s="195">
        <f>434630/1000</f>
        <v>434.63</v>
      </c>
      <c r="I5" s="195">
        <f>375270/1000</f>
        <v>375.27</v>
      </c>
      <c r="J5" s="195">
        <f>77210/1000</f>
        <v>77.209999999999994</v>
      </c>
      <c r="K5" s="195">
        <v>0</v>
      </c>
      <c r="L5" s="195"/>
      <c r="M5" s="195"/>
      <c r="N5" s="195"/>
      <c r="O5" s="195"/>
      <c r="P5" s="195">
        <f t="shared" si="2"/>
        <v>522.59699999999998</v>
      </c>
      <c r="Q5" s="195">
        <f t="shared" si="3"/>
        <v>1157.364</v>
      </c>
      <c r="R5" s="195">
        <f t="shared" si="0"/>
        <v>452.47999999999996</v>
      </c>
      <c r="S5" s="195">
        <f t="shared" si="1"/>
        <v>0</v>
      </c>
      <c r="T5" s="168"/>
    </row>
    <row r="6" spans="1:21">
      <c r="A6" s="197" t="s">
        <v>411</v>
      </c>
      <c r="B6" s="195" t="s">
        <v>101</v>
      </c>
      <c r="C6" s="196">
        <v>114</v>
      </c>
      <c r="D6" s="196">
        <v>88</v>
      </c>
      <c r="E6" s="195">
        <f>206339/1000</f>
        <v>206.339</v>
      </c>
      <c r="F6" s="195">
        <f>209205/1000</f>
        <v>209.20500000000001</v>
      </c>
      <c r="G6" s="195">
        <f>204699/1000</f>
        <v>204.69900000000001</v>
      </c>
      <c r="H6" s="195">
        <f>201010/1000</f>
        <v>201.01</v>
      </c>
      <c r="I6" s="195">
        <f>188848/1000</f>
        <v>188.84800000000001</v>
      </c>
      <c r="J6" s="195">
        <f>204034/1000</f>
        <v>204.03399999999999</v>
      </c>
      <c r="K6" s="195">
        <f>133775/1000</f>
        <v>133.77500000000001</v>
      </c>
      <c r="L6" s="195"/>
      <c r="M6" s="195"/>
      <c r="N6" s="195"/>
      <c r="O6" s="195"/>
      <c r="P6" s="195">
        <f t="shared" si="2"/>
        <v>408.339</v>
      </c>
      <c r="Q6" s="195">
        <f t="shared" si="3"/>
        <v>614.91399999999999</v>
      </c>
      <c r="R6" s="195">
        <f t="shared" si="0"/>
        <v>526.65700000000004</v>
      </c>
      <c r="S6" s="195">
        <f t="shared" si="1"/>
        <v>0</v>
      </c>
      <c r="T6" s="168"/>
    </row>
    <row r="7" spans="1:21">
      <c r="A7" s="181" t="s">
        <v>312</v>
      </c>
      <c r="B7" s="181" t="s">
        <v>101</v>
      </c>
      <c r="C7" s="182">
        <v>0</v>
      </c>
      <c r="D7" s="182">
        <v>0</v>
      </c>
      <c r="E7" s="182">
        <v>0</v>
      </c>
      <c r="F7" s="181"/>
      <c r="G7" s="181"/>
      <c r="H7" s="181"/>
      <c r="I7" s="181"/>
      <c r="J7" s="181"/>
      <c r="K7" s="181"/>
      <c r="L7" s="181"/>
      <c r="M7" s="181"/>
      <c r="N7" s="181"/>
      <c r="O7" s="181"/>
      <c r="P7" s="181">
        <f>SUM(C7:E7)</f>
        <v>0</v>
      </c>
      <c r="Q7" s="181">
        <f t="shared" si="3"/>
        <v>0</v>
      </c>
      <c r="R7" s="181">
        <f t="shared" si="0"/>
        <v>0</v>
      </c>
      <c r="S7" s="181">
        <f t="shared" si="1"/>
        <v>0</v>
      </c>
      <c r="T7" s="168"/>
    </row>
    <row r="8" spans="1:21">
      <c r="A8" s="181" t="s">
        <v>313</v>
      </c>
      <c r="B8" s="181" t="s">
        <v>101</v>
      </c>
      <c r="C8" s="182">
        <v>0</v>
      </c>
      <c r="D8" s="182">
        <v>0</v>
      </c>
      <c r="E8" s="182">
        <v>0</v>
      </c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>
        <f t="shared" si="2"/>
        <v>0</v>
      </c>
      <c r="Q8" s="181">
        <f t="shared" si="3"/>
        <v>0</v>
      </c>
      <c r="R8" s="181">
        <f t="shared" si="0"/>
        <v>0</v>
      </c>
      <c r="S8" s="181">
        <f t="shared" si="1"/>
        <v>0</v>
      </c>
      <c r="T8" s="168"/>
    </row>
    <row r="9" spans="1:21">
      <c r="A9" s="181" t="s">
        <v>347</v>
      </c>
      <c r="B9" s="181" t="s">
        <v>101</v>
      </c>
      <c r="C9" s="182">
        <v>0</v>
      </c>
      <c r="D9" s="182">
        <v>0</v>
      </c>
      <c r="E9" s="182">
        <v>0</v>
      </c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>
        <f t="shared" si="2"/>
        <v>0</v>
      </c>
      <c r="Q9" s="181">
        <f t="shared" si="3"/>
        <v>0</v>
      </c>
      <c r="R9" s="181">
        <f t="shared" si="0"/>
        <v>0</v>
      </c>
      <c r="S9" s="181">
        <f t="shared" si="1"/>
        <v>0</v>
      </c>
      <c r="T9" s="168"/>
    </row>
    <row r="10" spans="1:21">
      <c r="A10" s="180" t="s">
        <v>412</v>
      </c>
      <c r="B10" s="181" t="s">
        <v>101</v>
      </c>
      <c r="C10" s="182">
        <v>0</v>
      </c>
      <c r="D10" s="182">
        <v>0</v>
      </c>
      <c r="E10" s="182">
        <v>0</v>
      </c>
      <c r="F10" s="182"/>
      <c r="G10" s="182"/>
      <c r="H10" s="182"/>
      <c r="I10" s="182"/>
      <c r="J10" s="182"/>
      <c r="K10" s="182"/>
      <c r="L10" s="182"/>
      <c r="M10" s="182"/>
      <c r="N10" s="181"/>
      <c r="O10" s="181"/>
      <c r="P10" s="181">
        <f>SUM(C10:L10)</f>
        <v>0</v>
      </c>
      <c r="Q10" s="181">
        <f t="shared" si="3"/>
        <v>0</v>
      </c>
      <c r="R10" s="181">
        <f t="shared" si="0"/>
        <v>0</v>
      </c>
      <c r="S10" s="181">
        <f t="shared" si="1"/>
        <v>0</v>
      </c>
      <c r="T10" s="168"/>
    </row>
    <row r="11" spans="1:21">
      <c r="A11" s="200" t="s">
        <v>315</v>
      </c>
      <c r="B11" s="200" t="s">
        <v>101</v>
      </c>
      <c r="C11" s="201">
        <f>C3+C7</f>
        <v>0</v>
      </c>
      <c r="D11" s="201">
        <f>D3+D7</f>
        <v>0</v>
      </c>
      <c r="E11" s="201">
        <f t="shared" ref="E11:O11" si="4">E3+E7</f>
        <v>0</v>
      </c>
      <c r="F11" s="201">
        <f t="shared" si="4"/>
        <v>0</v>
      </c>
      <c r="G11" s="201">
        <f t="shared" si="4"/>
        <v>0</v>
      </c>
      <c r="H11" s="201">
        <f t="shared" si="4"/>
        <v>0</v>
      </c>
      <c r="I11" s="201">
        <f t="shared" si="4"/>
        <v>0</v>
      </c>
      <c r="J11" s="201">
        <f t="shared" si="4"/>
        <v>0</v>
      </c>
      <c r="K11" s="201">
        <f t="shared" si="4"/>
        <v>0</v>
      </c>
      <c r="L11" s="201">
        <f t="shared" si="4"/>
        <v>0</v>
      </c>
      <c r="M11" s="201">
        <f t="shared" si="4"/>
        <v>0</v>
      </c>
      <c r="N11" s="201">
        <f t="shared" si="4"/>
        <v>0</v>
      </c>
      <c r="O11" s="201">
        <f t="shared" si="4"/>
        <v>0</v>
      </c>
      <c r="P11" s="201">
        <f>P3+P7</f>
        <v>0</v>
      </c>
      <c r="Q11" s="201">
        <f t="shared" ref="Q11:T14" si="5">Q3+Q7</f>
        <v>0</v>
      </c>
      <c r="R11" s="201">
        <f t="shared" si="5"/>
        <v>0</v>
      </c>
      <c r="S11" s="201">
        <f t="shared" si="5"/>
        <v>0</v>
      </c>
      <c r="T11" s="171"/>
    </row>
    <row r="12" spans="1:21">
      <c r="A12" s="200" t="s">
        <v>316</v>
      </c>
      <c r="B12" s="200" t="s">
        <v>101</v>
      </c>
      <c r="C12" s="201">
        <f>C4+C8</f>
        <v>443</v>
      </c>
      <c r="D12" s="201">
        <f t="shared" ref="D12:P14" si="6">D4+D8</f>
        <v>251.25</v>
      </c>
      <c r="E12" s="201">
        <f t="shared" si="6"/>
        <v>543.06899999999996</v>
      </c>
      <c r="F12" s="201">
        <f t="shared" si="6"/>
        <v>88.334999999999994</v>
      </c>
      <c r="G12" s="201">
        <f t="shared" si="6"/>
        <v>774.19</v>
      </c>
      <c r="H12" s="201">
        <f t="shared" si="6"/>
        <v>319.41800000000001</v>
      </c>
      <c r="I12" s="201">
        <f t="shared" si="6"/>
        <v>508.88</v>
      </c>
      <c r="J12" s="201">
        <f t="shared" si="6"/>
        <v>630.60900000000004</v>
      </c>
      <c r="K12" s="201">
        <f t="shared" si="6"/>
        <v>444.55900000000003</v>
      </c>
      <c r="L12" s="201">
        <f t="shared" si="6"/>
        <v>0</v>
      </c>
      <c r="M12" s="201">
        <f t="shared" si="6"/>
        <v>0</v>
      </c>
      <c r="N12" s="201">
        <f t="shared" si="6"/>
        <v>0</v>
      </c>
      <c r="O12" s="201">
        <f t="shared" si="6"/>
        <v>0</v>
      </c>
      <c r="P12" s="201">
        <f t="shared" si="6"/>
        <v>1237.319</v>
      </c>
      <c r="Q12" s="201">
        <f t="shared" si="5"/>
        <v>1181.9430000000002</v>
      </c>
      <c r="R12" s="201">
        <f t="shared" si="5"/>
        <v>1584.048</v>
      </c>
      <c r="S12" s="201">
        <f t="shared" si="5"/>
        <v>0</v>
      </c>
      <c r="T12" s="171"/>
    </row>
    <row r="13" spans="1:21">
      <c r="A13" s="200" t="s">
        <v>317</v>
      </c>
      <c r="B13" s="200" t="s">
        <v>101</v>
      </c>
      <c r="C13" s="201">
        <f>C5+C9</f>
        <v>0</v>
      </c>
      <c r="D13" s="201">
        <f t="shared" si="6"/>
        <v>92.48</v>
      </c>
      <c r="E13" s="201">
        <f t="shared" si="6"/>
        <v>430.11700000000002</v>
      </c>
      <c r="F13" s="201">
        <f t="shared" si="6"/>
        <v>722.73400000000004</v>
      </c>
      <c r="G13" s="201">
        <f t="shared" si="6"/>
        <v>0</v>
      </c>
      <c r="H13" s="201">
        <f t="shared" si="6"/>
        <v>434.63</v>
      </c>
      <c r="I13" s="201">
        <f t="shared" si="6"/>
        <v>375.27</v>
      </c>
      <c r="J13" s="201">
        <f t="shared" si="6"/>
        <v>77.209999999999994</v>
      </c>
      <c r="K13" s="201">
        <f t="shared" si="6"/>
        <v>0</v>
      </c>
      <c r="L13" s="201">
        <f t="shared" si="6"/>
        <v>0</v>
      </c>
      <c r="M13" s="201">
        <f t="shared" si="6"/>
        <v>0</v>
      </c>
      <c r="N13" s="201">
        <f t="shared" si="6"/>
        <v>0</v>
      </c>
      <c r="O13" s="201">
        <f t="shared" si="6"/>
        <v>0</v>
      </c>
      <c r="P13" s="201">
        <f>P5+P9</f>
        <v>522.59699999999998</v>
      </c>
      <c r="Q13" s="201">
        <f t="shared" si="5"/>
        <v>1157.364</v>
      </c>
      <c r="R13" s="201">
        <f t="shared" si="5"/>
        <v>452.47999999999996</v>
      </c>
      <c r="S13" s="201">
        <f t="shared" si="5"/>
        <v>0</v>
      </c>
      <c r="T13" s="171"/>
    </row>
    <row r="14" spans="1:21">
      <c r="A14" s="200" t="s">
        <v>413</v>
      </c>
      <c r="B14" s="200" t="s">
        <v>101</v>
      </c>
      <c r="C14" s="201">
        <f>C6+C10</f>
        <v>114</v>
      </c>
      <c r="D14" s="201">
        <f t="shared" si="6"/>
        <v>88</v>
      </c>
      <c r="E14" s="201">
        <f t="shared" si="6"/>
        <v>206.339</v>
      </c>
      <c r="F14" s="201">
        <f t="shared" si="6"/>
        <v>209.20500000000001</v>
      </c>
      <c r="G14" s="201">
        <f t="shared" si="6"/>
        <v>204.69900000000001</v>
      </c>
      <c r="H14" s="201">
        <f t="shared" si="6"/>
        <v>201.01</v>
      </c>
      <c r="I14" s="201">
        <f t="shared" si="6"/>
        <v>188.84800000000001</v>
      </c>
      <c r="J14" s="201">
        <f t="shared" si="6"/>
        <v>204.03399999999999</v>
      </c>
      <c r="K14" s="201">
        <f t="shared" si="6"/>
        <v>133.77500000000001</v>
      </c>
      <c r="L14" s="201">
        <f t="shared" si="6"/>
        <v>0</v>
      </c>
      <c r="M14" s="201">
        <f t="shared" si="6"/>
        <v>0</v>
      </c>
      <c r="N14" s="201">
        <f t="shared" si="6"/>
        <v>0</v>
      </c>
      <c r="O14" s="201">
        <f t="shared" si="6"/>
        <v>0</v>
      </c>
      <c r="P14" s="201">
        <f>P6+P10</f>
        <v>408.339</v>
      </c>
      <c r="Q14" s="201">
        <f t="shared" si="5"/>
        <v>614.91399999999999</v>
      </c>
      <c r="R14" s="201">
        <f t="shared" si="5"/>
        <v>526.65700000000004</v>
      </c>
      <c r="S14" s="201">
        <f t="shared" si="5"/>
        <v>0</v>
      </c>
      <c r="T14" s="130">
        <f t="shared" si="5"/>
        <v>0</v>
      </c>
    </row>
    <row r="15" spans="1:21">
      <c r="A15" s="130" t="s">
        <v>318</v>
      </c>
      <c r="B15" s="68" t="s">
        <v>101</v>
      </c>
      <c r="C15" s="130">
        <f>SUM(C3:C6)</f>
        <v>557</v>
      </c>
      <c r="D15" s="130">
        <f>SUM(D3:D6)</f>
        <v>431.73</v>
      </c>
      <c r="E15" s="130">
        <f>SUM(E3:E6)</f>
        <v>1179.5249999999999</v>
      </c>
      <c r="F15" s="130">
        <f t="shared" ref="F15:O15" si="7">SUM(F3:F6)</f>
        <v>1020.2740000000001</v>
      </c>
      <c r="G15" s="130">
        <f t="shared" si="7"/>
        <v>978.88900000000012</v>
      </c>
      <c r="H15" s="130">
        <f t="shared" si="7"/>
        <v>955.05799999999999</v>
      </c>
      <c r="I15" s="130">
        <f t="shared" si="7"/>
        <v>1072.998</v>
      </c>
      <c r="J15" s="130">
        <f t="shared" si="7"/>
        <v>911.85300000000007</v>
      </c>
      <c r="K15" s="130">
        <f t="shared" si="7"/>
        <v>578.33400000000006</v>
      </c>
      <c r="L15" s="130">
        <f t="shared" si="7"/>
        <v>0</v>
      </c>
      <c r="M15" s="130">
        <f t="shared" si="7"/>
        <v>0</v>
      </c>
      <c r="N15" s="130">
        <f t="shared" si="7"/>
        <v>0</v>
      </c>
      <c r="O15" s="130">
        <f t="shared" si="7"/>
        <v>0</v>
      </c>
      <c r="P15" s="130">
        <f>SUM(P3:P6)</f>
        <v>2168.2550000000001</v>
      </c>
      <c r="Q15" s="130">
        <f>SUM(Q3:Q6)</f>
        <v>2954.2210000000005</v>
      </c>
      <c r="R15" s="130">
        <f t="shared" ref="R15:S15" si="8">SUM(R3:R6)</f>
        <v>2563.1849999999999</v>
      </c>
      <c r="S15" s="130">
        <f t="shared" si="8"/>
        <v>0</v>
      </c>
      <c r="T15" s="171"/>
    </row>
    <row r="16" spans="1:21">
      <c r="A16" s="130" t="s">
        <v>314</v>
      </c>
      <c r="B16" s="68" t="s">
        <v>101</v>
      </c>
      <c r="C16" s="130">
        <f>SUM(C7:C10)</f>
        <v>0</v>
      </c>
      <c r="D16" s="130">
        <f t="shared" ref="D16:P16" si="9">SUM(D7:D10)</f>
        <v>0</v>
      </c>
      <c r="E16" s="130">
        <f t="shared" si="9"/>
        <v>0</v>
      </c>
      <c r="F16" s="130">
        <f t="shared" si="9"/>
        <v>0</v>
      </c>
      <c r="G16" s="130">
        <f t="shared" si="9"/>
        <v>0</v>
      </c>
      <c r="H16" s="130">
        <f t="shared" si="9"/>
        <v>0</v>
      </c>
      <c r="I16" s="130">
        <f t="shared" si="9"/>
        <v>0</v>
      </c>
      <c r="J16" s="130">
        <f t="shared" si="9"/>
        <v>0</v>
      </c>
      <c r="K16" s="130">
        <f t="shared" si="9"/>
        <v>0</v>
      </c>
      <c r="L16" s="130">
        <f t="shared" si="9"/>
        <v>0</v>
      </c>
      <c r="M16" s="130">
        <f t="shared" si="9"/>
        <v>0</v>
      </c>
      <c r="N16" s="130">
        <f t="shared" si="9"/>
        <v>0</v>
      </c>
      <c r="O16" s="130">
        <f t="shared" si="9"/>
        <v>0</v>
      </c>
      <c r="P16" s="130">
        <f t="shared" si="9"/>
        <v>0</v>
      </c>
      <c r="Q16" s="130">
        <f>SUM(Q7:Q10)</f>
        <v>0</v>
      </c>
      <c r="R16" s="130">
        <f t="shared" ref="R16:S16" si="10">SUM(R7:R10)</f>
        <v>0</v>
      </c>
      <c r="S16" s="130">
        <f t="shared" si="10"/>
        <v>0</v>
      </c>
      <c r="T16" s="171"/>
    </row>
    <row r="17" spans="1:21" s="145" customFormat="1">
      <c r="A17" s="153" t="s">
        <v>357</v>
      </c>
      <c r="B17" s="124" t="s">
        <v>101</v>
      </c>
      <c r="C17" s="153">
        <f>SUM(C15:C16)</f>
        <v>557</v>
      </c>
      <c r="D17" s="153">
        <f>SUM(D15:D16)</f>
        <v>431.73</v>
      </c>
      <c r="E17" s="153">
        <f t="shared" ref="E17:O17" si="11">SUM(E15:E16)</f>
        <v>1179.5249999999999</v>
      </c>
      <c r="F17" s="153">
        <f t="shared" si="11"/>
        <v>1020.2740000000001</v>
      </c>
      <c r="G17" s="153">
        <f t="shared" si="11"/>
        <v>978.88900000000012</v>
      </c>
      <c r="H17" s="153">
        <f t="shared" si="11"/>
        <v>955.05799999999999</v>
      </c>
      <c r="I17" s="153">
        <f t="shared" si="11"/>
        <v>1072.998</v>
      </c>
      <c r="J17" s="153">
        <f t="shared" si="11"/>
        <v>911.85300000000007</v>
      </c>
      <c r="K17" s="153">
        <f t="shared" si="11"/>
        <v>578.33400000000006</v>
      </c>
      <c r="L17" s="153">
        <f t="shared" si="11"/>
        <v>0</v>
      </c>
      <c r="M17" s="153">
        <f t="shared" si="11"/>
        <v>0</v>
      </c>
      <c r="N17" s="153">
        <f t="shared" si="11"/>
        <v>0</v>
      </c>
      <c r="O17" s="153">
        <f t="shared" si="11"/>
        <v>0</v>
      </c>
      <c r="P17" s="153">
        <f>SUM(P11:P13)</f>
        <v>1759.9159999999999</v>
      </c>
      <c r="Q17" s="153">
        <f t="shared" ref="Q17:S17" si="12">SUM(Q11:Q13)</f>
        <v>2339.3070000000002</v>
      </c>
      <c r="R17" s="153">
        <f t="shared" si="12"/>
        <v>2036.528</v>
      </c>
      <c r="S17" s="153">
        <f t="shared" si="12"/>
        <v>0</v>
      </c>
      <c r="T17" s="171"/>
      <c r="U17" s="157"/>
    </row>
    <row r="18" spans="1:21">
      <c r="A18" s="198" t="s">
        <v>404</v>
      </c>
      <c r="B18" s="198" t="s">
        <v>333</v>
      </c>
      <c r="C18" s="199">
        <v>7350</v>
      </c>
      <c r="D18" s="199">
        <v>7350</v>
      </c>
      <c r="E18" s="199">
        <v>7350</v>
      </c>
      <c r="F18" s="199">
        <v>7350</v>
      </c>
      <c r="G18" s="199">
        <v>7350</v>
      </c>
      <c r="H18" s="199">
        <v>7350</v>
      </c>
      <c r="I18" s="199">
        <v>7350</v>
      </c>
      <c r="J18" s="199">
        <v>7350</v>
      </c>
      <c r="K18" s="199">
        <v>7350</v>
      </c>
      <c r="L18" s="199">
        <v>7350</v>
      </c>
      <c r="M18" s="199">
        <v>7350</v>
      </c>
      <c r="N18" s="199">
        <v>7350</v>
      </c>
      <c r="O18" s="199">
        <v>7350</v>
      </c>
      <c r="P18" s="199">
        <v>7350</v>
      </c>
      <c r="Q18" s="199">
        <v>7350</v>
      </c>
      <c r="R18" s="199">
        <v>7350</v>
      </c>
      <c r="S18" s="199">
        <v>7350</v>
      </c>
      <c r="T18" s="168"/>
    </row>
    <row r="19" spans="1:21">
      <c r="A19" s="198" t="s">
        <v>405</v>
      </c>
      <c r="B19" s="198" t="s">
        <v>333</v>
      </c>
      <c r="C19" s="198">
        <v>5780</v>
      </c>
      <c r="D19" s="198">
        <v>5780</v>
      </c>
      <c r="E19" s="198">
        <v>5780</v>
      </c>
      <c r="F19" s="198">
        <v>5780</v>
      </c>
      <c r="G19" s="198">
        <v>5780</v>
      </c>
      <c r="H19" s="198">
        <v>5780</v>
      </c>
      <c r="I19" s="198">
        <v>5780</v>
      </c>
      <c r="J19" s="198">
        <v>5780</v>
      </c>
      <c r="K19" s="198">
        <v>5780</v>
      </c>
      <c r="L19" s="198">
        <v>5780</v>
      </c>
      <c r="M19" s="198">
        <v>5780</v>
      </c>
      <c r="N19" s="198">
        <v>5780</v>
      </c>
      <c r="O19" s="198">
        <v>5780</v>
      </c>
      <c r="P19" s="198">
        <v>5780</v>
      </c>
      <c r="Q19" s="198">
        <v>5780</v>
      </c>
      <c r="R19" s="198">
        <v>5780</v>
      </c>
      <c r="S19" s="198">
        <v>5780</v>
      </c>
      <c r="T19" s="168"/>
    </row>
    <row r="20" spans="1:21">
      <c r="A20" s="198" t="s">
        <v>406</v>
      </c>
      <c r="B20" s="198" t="s">
        <v>333</v>
      </c>
      <c r="C20" s="198">
        <v>5520</v>
      </c>
      <c r="D20" s="198">
        <v>5520</v>
      </c>
      <c r="E20" s="198">
        <v>5520</v>
      </c>
      <c r="F20" s="198">
        <v>5520</v>
      </c>
      <c r="G20" s="198">
        <v>5520</v>
      </c>
      <c r="H20" s="198">
        <v>5520</v>
      </c>
      <c r="I20" s="198">
        <v>5520</v>
      </c>
      <c r="J20" s="198">
        <v>5520</v>
      </c>
      <c r="K20" s="198">
        <v>5520</v>
      </c>
      <c r="L20" s="198">
        <v>5520</v>
      </c>
      <c r="M20" s="198">
        <v>5520</v>
      </c>
      <c r="N20" s="198">
        <v>5520</v>
      </c>
      <c r="O20" s="198">
        <v>5520</v>
      </c>
      <c r="P20" s="198">
        <v>5520</v>
      </c>
      <c r="Q20" s="198">
        <v>5520</v>
      </c>
      <c r="R20" s="198">
        <v>5520</v>
      </c>
      <c r="S20" s="198">
        <v>5520</v>
      </c>
      <c r="T20" s="168"/>
    </row>
    <row r="21" spans="1:21">
      <c r="A21" s="198" t="s">
        <v>414</v>
      </c>
      <c r="B21" s="198" t="s">
        <v>333</v>
      </c>
      <c r="C21" s="198">
        <v>6810</v>
      </c>
      <c r="D21" s="198">
        <v>6810</v>
      </c>
      <c r="E21" s="198">
        <v>6810</v>
      </c>
      <c r="F21" s="198">
        <v>6810</v>
      </c>
      <c r="G21" s="198">
        <v>6810</v>
      </c>
      <c r="H21" s="198">
        <v>6810</v>
      </c>
      <c r="I21" s="198">
        <v>6810</v>
      </c>
      <c r="J21" s="198">
        <v>6810</v>
      </c>
      <c r="K21" s="198">
        <v>6810</v>
      </c>
      <c r="L21" s="198">
        <v>6810</v>
      </c>
      <c r="M21" s="198">
        <v>6810</v>
      </c>
      <c r="N21" s="198">
        <v>6810</v>
      </c>
      <c r="O21" s="198">
        <v>6810</v>
      </c>
      <c r="P21" s="198">
        <v>6810</v>
      </c>
      <c r="Q21" s="198">
        <v>6810</v>
      </c>
      <c r="R21" s="198">
        <v>6810</v>
      </c>
      <c r="S21" s="198">
        <v>6810</v>
      </c>
      <c r="T21" s="168"/>
    </row>
    <row r="22" spans="1:21">
      <c r="A22" s="204" t="s">
        <v>401</v>
      </c>
      <c r="B22" s="204" t="s">
        <v>333</v>
      </c>
      <c r="C22" s="216">
        <f>((C11*C18)+(C12*C19)+(C13*C20)+(C14*C21))/C17</f>
        <v>5990.8078994614007</v>
      </c>
      <c r="D22" s="216">
        <f t="shared" ref="D22:S22" si="13">((D11*D18)+(D12*D19)+(D13*D20)+(D14*D21))/D17</f>
        <v>5934.2519630324505</v>
      </c>
      <c r="E22" s="216">
        <f t="shared" si="13"/>
        <v>5865.3722896928857</v>
      </c>
      <c r="F22" s="216">
        <f t="shared" si="13"/>
        <v>5807.0224567126079</v>
      </c>
      <c r="G22" s="216">
        <f t="shared" si="13"/>
        <v>5995.3870050639043</v>
      </c>
      <c r="H22" s="216">
        <f t="shared" si="13"/>
        <v>5878.4615594026754</v>
      </c>
      <c r="I22" s="216">
        <f t="shared" si="13"/>
        <v>5870.3480155601401</v>
      </c>
      <c r="J22" s="216">
        <f t="shared" si="13"/>
        <v>5988.4551128306857</v>
      </c>
      <c r="K22" s="216">
        <f t="shared" si="13"/>
        <v>6018.2503017287581</v>
      </c>
      <c r="L22" s="216" t="e">
        <f t="shared" si="13"/>
        <v>#DIV/0!</v>
      </c>
      <c r="M22" s="216" t="e">
        <f t="shared" si="13"/>
        <v>#DIV/0!</v>
      </c>
      <c r="N22" s="216" t="e">
        <f t="shared" si="13"/>
        <v>#DIV/0!</v>
      </c>
      <c r="O22" s="216" t="e">
        <f t="shared" si="13"/>
        <v>#DIV/0!</v>
      </c>
      <c r="P22" s="216">
        <f t="shared" si="13"/>
        <v>7282.8634150720827</v>
      </c>
      <c r="Q22" s="216">
        <f t="shared" si="13"/>
        <v>7441.4534560876355</v>
      </c>
      <c r="R22" s="216">
        <f t="shared" si="13"/>
        <v>7483.3349750163015</v>
      </c>
      <c r="S22" s="216" t="e">
        <f t="shared" si="13"/>
        <v>#DIV/0!</v>
      </c>
      <c r="T22" s="168"/>
    </row>
    <row r="23" spans="1:21" s="143" customFormat="1">
      <c r="A23" s="121" t="s">
        <v>358</v>
      </c>
      <c r="B23" s="80" t="s">
        <v>335</v>
      </c>
      <c r="C23" s="121"/>
      <c r="D23" s="121"/>
      <c r="E23" s="121"/>
      <c r="F23" s="121"/>
      <c r="G23" s="121"/>
      <c r="H23" s="121"/>
      <c r="I23" s="121"/>
      <c r="J23" s="121"/>
      <c r="K23" s="121"/>
      <c r="L23" s="121"/>
      <c r="M23" s="119"/>
      <c r="N23" s="119"/>
      <c r="O23" s="68">
        <f t="shared" ref="O23:O25" si="14">SUM(C23:N23)</f>
        <v>0</v>
      </c>
      <c r="P23" s="68">
        <f t="shared" ref="P23:P35" si="15">SUM(C23:E23)</f>
        <v>0</v>
      </c>
      <c r="Q23" s="68">
        <f t="shared" ref="Q23:Q35" si="16">SUM(F23:H23)</f>
        <v>0</v>
      </c>
      <c r="R23" s="68">
        <f t="shared" ref="R23:R35" si="17">SUM(I23:K23)</f>
        <v>0</v>
      </c>
      <c r="S23" s="68">
        <f t="shared" ref="S23:S35" si="18">SUM(L23:N23)</f>
        <v>0</v>
      </c>
      <c r="T23" s="168"/>
      <c r="U23" s="172"/>
    </row>
    <row r="24" spans="1:21" s="143" customFormat="1">
      <c r="A24" s="121" t="s">
        <v>359</v>
      </c>
      <c r="B24" s="80" t="s">
        <v>335</v>
      </c>
      <c r="C24" s="121"/>
      <c r="D24" s="121"/>
      <c r="E24" s="121"/>
      <c r="F24" s="121"/>
      <c r="G24" s="121"/>
      <c r="H24" s="121"/>
      <c r="I24" s="121"/>
      <c r="J24" s="121"/>
      <c r="K24" s="121"/>
      <c r="L24" s="121"/>
      <c r="M24" s="119"/>
      <c r="N24" s="119"/>
      <c r="O24" s="68">
        <f t="shared" si="14"/>
        <v>0</v>
      </c>
      <c r="P24" s="68">
        <f t="shared" si="15"/>
        <v>0</v>
      </c>
      <c r="Q24" s="68">
        <f t="shared" si="16"/>
        <v>0</v>
      </c>
      <c r="R24" s="68">
        <f t="shared" si="17"/>
        <v>0</v>
      </c>
      <c r="S24" s="68">
        <f t="shared" si="18"/>
        <v>0</v>
      </c>
      <c r="T24" s="168"/>
      <c r="U24" s="172"/>
    </row>
    <row r="25" spans="1:21" s="154" customFormat="1">
      <c r="A25" s="153" t="s">
        <v>360</v>
      </c>
      <c r="B25" s="124" t="s">
        <v>335</v>
      </c>
      <c r="C25" s="153">
        <f>SUM(C23:C24)</f>
        <v>0</v>
      </c>
      <c r="D25" s="153">
        <f t="shared" ref="D25:N25" si="19">SUM(D23:D24)</f>
        <v>0</v>
      </c>
      <c r="E25" s="153">
        <f t="shared" si="19"/>
        <v>0</v>
      </c>
      <c r="F25" s="153">
        <f t="shared" si="19"/>
        <v>0</v>
      </c>
      <c r="G25" s="153">
        <f t="shared" si="19"/>
        <v>0</v>
      </c>
      <c r="H25" s="153">
        <f t="shared" si="19"/>
        <v>0</v>
      </c>
      <c r="I25" s="153">
        <f t="shared" si="19"/>
        <v>0</v>
      </c>
      <c r="J25" s="153">
        <f t="shared" si="19"/>
        <v>0</v>
      </c>
      <c r="K25" s="153">
        <f t="shared" si="19"/>
        <v>0</v>
      </c>
      <c r="L25" s="153">
        <f t="shared" si="19"/>
        <v>0</v>
      </c>
      <c r="M25" s="153">
        <f t="shared" si="19"/>
        <v>0</v>
      </c>
      <c r="N25" s="153">
        <f t="shared" si="19"/>
        <v>0</v>
      </c>
      <c r="O25" s="124">
        <f t="shared" si="14"/>
        <v>0</v>
      </c>
      <c r="P25" s="124">
        <f t="shared" si="15"/>
        <v>0</v>
      </c>
      <c r="Q25" s="124">
        <f t="shared" si="16"/>
        <v>0</v>
      </c>
      <c r="R25" s="124">
        <f t="shared" si="17"/>
        <v>0</v>
      </c>
      <c r="S25" s="124">
        <f t="shared" si="18"/>
        <v>0</v>
      </c>
      <c r="T25" s="168"/>
      <c r="U25" s="172"/>
    </row>
    <row r="26" spans="1:21" s="143" customFormat="1" hidden="1">
      <c r="A26" s="80" t="s">
        <v>250</v>
      </c>
      <c r="B26" s="80" t="s">
        <v>101</v>
      </c>
      <c r="C26" s="121"/>
      <c r="D26" s="121"/>
      <c r="E26" s="121"/>
      <c r="F26" s="121"/>
      <c r="G26" s="121"/>
      <c r="H26" s="121"/>
      <c r="I26" s="121"/>
      <c r="J26" s="121"/>
      <c r="K26" s="121"/>
      <c r="L26" s="121"/>
      <c r="M26" s="119"/>
      <c r="N26" s="119"/>
      <c r="O26" s="68">
        <f t="shared" ref="O26:O34" si="20">SUM(C26:N26)</f>
        <v>0</v>
      </c>
      <c r="P26" s="68">
        <f t="shared" si="15"/>
        <v>0</v>
      </c>
      <c r="Q26" s="68">
        <f t="shared" si="16"/>
        <v>0</v>
      </c>
      <c r="R26" s="68">
        <f t="shared" si="17"/>
        <v>0</v>
      </c>
      <c r="S26" s="68">
        <f t="shared" si="18"/>
        <v>0</v>
      </c>
      <c r="T26" s="168"/>
      <c r="U26" s="172"/>
    </row>
    <row r="27" spans="1:21" s="143" customFormat="1" hidden="1">
      <c r="A27" s="80" t="s">
        <v>251</v>
      </c>
      <c r="B27" s="80" t="s">
        <v>101</v>
      </c>
      <c r="C27" s="121"/>
      <c r="D27" s="121"/>
      <c r="E27" s="121"/>
      <c r="F27" s="121"/>
      <c r="G27" s="121"/>
      <c r="H27" s="121"/>
      <c r="I27" s="121"/>
      <c r="J27" s="121"/>
      <c r="K27" s="121"/>
      <c r="L27" s="121"/>
      <c r="M27" s="119"/>
      <c r="N27" s="119"/>
      <c r="O27" s="68">
        <f t="shared" si="20"/>
        <v>0</v>
      </c>
      <c r="P27" s="68">
        <f t="shared" si="15"/>
        <v>0</v>
      </c>
      <c r="Q27" s="68">
        <f t="shared" si="16"/>
        <v>0</v>
      </c>
      <c r="R27" s="68">
        <f t="shared" si="17"/>
        <v>0</v>
      </c>
      <c r="S27" s="68">
        <f t="shared" si="18"/>
        <v>0</v>
      </c>
      <c r="T27" s="168"/>
      <c r="U27" s="172"/>
    </row>
    <row r="28" spans="1:21" s="143" customFormat="1" hidden="1">
      <c r="A28" s="127" t="s">
        <v>252</v>
      </c>
      <c r="B28" s="80" t="s">
        <v>101</v>
      </c>
      <c r="C28" s="140"/>
      <c r="D28" s="121"/>
      <c r="E28" s="140"/>
      <c r="F28" s="140"/>
      <c r="G28" s="140"/>
      <c r="H28" s="140"/>
      <c r="I28" s="140"/>
      <c r="J28" s="140"/>
      <c r="K28" s="121"/>
      <c r="L28" s="140"/>
      <c r="M28" s="119"/>
      <c r="N28" s="120"/>
      <c r="O28" s="68">
        <f t="shared" si="20"/>
        <v>0</v>
      </c>
      <c r="P28" s="68">
        <f t="shared" si="15"/>
        <v>0</v>
      </c>
      <c r="Q28" s="68">
        <f t="shared" si="16"/>
        <v>0</v>
      </c>
      <c r="R28" s="68">
        <f t="shared" si="17"/>
        <v>0</v>
      </c>
      <c r="S28" s="68">
        <f t="shared" si="18"/>
        <v>0</v>
      </c>
      <c r="T28" s="168"/>
      <c r="U28" s="172"/>
    </row>
    <row r="29" spans="1:21" s="143" customFormat="1" hidden="1">
      <c r="A29" s="80" t="s">
        <v>291</v>
      </c>
      <c r="B29" s="80" t="s">
        <v>101</v>
      </c>
      <c r="C29" s="121"/>
      <c r="D29" s="121"/>
      <c r="E29" s="121"/>
      <c r="F29" s="121"/>
      <c r="G29" s="121"/>
      <c r="H29" s="121"/>
      <c r="I29" s="121"/>
      <c r="J29" s="121"/>
      <c r="K29" s="121"/>
      <c r="L29" s="121"/>
      <c r="M29" s="119"/>
      <c r="N29" s="119"/>
      <c r="O29" s="68">
        <f t="shared" si="20"/>
        <v>0</v>
      </c>
      <c r="P29" s="68">
        <f t="shared" si="15"/>
        <v>0</v>
      </c>
      <c r="Q29" s="68">
        <f t="shared" si="16"/>
        <v>0</v>
      </c>
      <c r="R29" s="68">
        <f t="shared" si="17"/>
        <v>0</v>
      </c>
      <c r="S29" s="68">
        <f t="shared" si="18"/>
        <v>0</v>
      </c>
      <c r="T29" s="168"/>
      <c r="U29" s="172"/>
    </row>
    <row r="30" spans="1:21" s="143" customFormat="1" hidden="1">
      <c r="A30" s="80" t="s">
        <v>253</v>
      </c>
      <c r="B30" s="80" t="s">
        <v>101</v>
      </c>
      <c r="C30" s="121"/>
      <c r="D30" s="121"/>
      <c r="E30" s="121"/>
      <c r="F30" s="121"/>
      <c r="G30" s="121"/>
      <c r="H30" s="121"/>
      <c r="I30" s="121"/>
      <c r="J30" s="121"/>
      <c r="K30" s="121"/>
      <c r="L30" s="121"/>
      <c r="M30" s="119"/>
      <c r="N30" s="119"/>
      <c r="O30" s="68">
        <f t="shared" si="20"/>
        <v>0</v>
      </c>
      <c r="P30" s="68">
        <f t="shared" si="15"/>
        <v>0</v>
      </c>
      <c r="Q30" s="68">
        <f t="shared" si="16"/>
        <v>0</v>
      </c>
      <c r="R30" s="68">
        <f t="shared" si="17"/>
        <v>0</v>
      </c>
      <c r="S30" s="68">
        <f t="shared" si="18"/>
        <v>0</v>
      </c>
      <c r="T30" s="168"/>
      <c r="U30" s="172"/>
    </row>
    <row r="31" spans="1:21">
      <c r="A31" s="80" t="s">
        <v>275</v>
      </c>
      <c r="B31" s="80" t="s">
        <v>103</v>
      </c>
      <c r="C31" s="121"/>
      <c r="D31" s="121"/>
      <c r="E31" s="119"/>
      <c r="F31" s="121"/>
      <c r="G31" s="121"/>
      <c r="H31" s="121"/>
      <c r="I31" s="121"/>
      <c r="J31" s="119"/>
      <c r="K31" s="121"/>
      <c r="L31" s="121"/>
      <c r="M31" s="121"/>
      <c r="N31" s="121"/>
      <c r="O31" s="68">
        <f t="shared" si="20"/>
        <v>0</v>
      </c>
      <c r="P31" s="68">
        <f t="shared" si="15"/>
        <v>0</v>
      </c>
      <c r="Q31" s="68">
        <f t="shared" si="16"/>
        <v>0</v>
      </c>
      <c r="R31" s="68">
        <f t="shared" si="17"/>
        <v>0</v>
      </c>
      <c r="S31" s="68">
        <f t="shared" si="18"/>
        <v>0</v>
      </c>
      <c r="T31" s="168"/>
    </row>
    <row r="32" spans="1:21">
      <c r="A32" s="80" t="s">
        <v>292</v>
      </c>
      <c r="B32" s="80" t="s">
        <v>103</v>
      </c>
      <c r="C32" s="121">
        <v>0</v>
      </c>
      <c r="D32" s="121">
        <v>0</v>
      </c>
      <c r="E32" s="121">
        <v>0</v>
      </c>
      <c r="F32" s="121">
        <v>0</v>
      </c>
      <c r="G32" s="121">
        <v>0</v>
      </c>
      <c r="H32" s="121">
        <v>0</v>
      </c>
      <c r="I32" s="121">
        <v>0</v>
      </c>
      <c r="J32" s="121"/>
      <c r="K32" s="121">
        <v>0</v>
      </c>
      <c r="L32" s="121">
        <v>0</v>
      </c>
      <c r="M32" s="121">
        <v>0</v>
      </c>
      <c r="N32" s="121">
        <v>0</v>
      </c>
      <c r="O32" s="68">
        <f t="shared" si="20"/>
        <v>0</v>
      </c>
      <c r="P32" s="68">
        <f t="shared" si="15"/>
        <v>0</v>
      </c>
      <c r="Q32" s="68">
        <f t="shared" si="16"/>
        <v>0</v>
      </c>
      <c r="R32" s="68">
        <f t="shared" si="17"/>
        <v>0</v>
      </c>
      <c r="S32" s="68">
        <f t="shared" si="18"/>
        <v>0</v>
      </c>
      <c r="T32" s="168"/>
    </row>
    <row r="33" spans="1:22" s="143" customFormat="1" hidden="1">
      <c r="A33" s="80" t="s">
        <v>254</v>
      </c>
      <c r="B33" s="80" t="s">
        <v>101</v>
      </c>
      <c r="C33" s="121"/>
      <c r="D33" s="121"/>
      <c r="E33" s="121"/>
      <c r="F33" s="121"/>
      <c r="G33" s="121"/>
      <c r="H33" s="121"/>
      <c r="I33" s="121"/>
      <c r="J33" s="121"/>
      <c r="K33" s="121"/>
      <c r="L33" s="121"/>
      <c r="M33" s="119"/>
      <c r="N33" s="119"/>
      <c r="O33" s="68">
        <f t="shared" si="20"/>
        <v>0</v>
      </c>
      <c r="P33" s="68">
        <f t="shared" si="15"/>
        <v>0</v>
      </c>
      <c r="Q33" s="68">
        <f t="shared" si="16"/>
        <v>0</v>
      </c>
      <c r="R33" s="68">
        <f t="shared" si="17"/>
        <v>0</v>
      </c>
      <c r="S33" s="68">
        <f t="shared" si="18"/>
        <v>0</v>
      </c>
      <c r="T33" s="168"/>
      <c r="U33" s="172"/>
    </row>
    <row r="34" spans="1:22" s="143" customFormat="1">
      <c r="A34" s="121" t="s">
        <v>421</v>
      </c>
      <c r="B34" s="80" t="s">
        <v>101</v>
      </c>
      <c r="C34" s="108">
        <v>2.4460000000000002</v>
      </c>
      <c r="D34" s="108">
        <f>18544/1000</f>
        <v>18.544</v>
      </c>
      <c r="E34" s="161">
        <f>29067/1000</f>
        <v>29.067</v>
      </c>
      <c r="F34" s="161">
        <f>22056/1000+9.88</f>
        <v>31.936</v>
      </c>
      <c r="G34" s="161">
        <f>27452/1000</f>
        <v>27.452000000000002</v>
      </c>
      <c r="H34" s="161">
        <f>10810/1000+212.176</f>
        <v>222.98599999999999</v>
      </c>
      <c r="I34" s="161">
        <f>9030/1000+336.6</f>
        <v>345.63</v>
      </c>
      <c r="J34" s="161">
        <f>25270/1000+555095/1000</f>
        <v>580.36500000000001</v>
      </c>
      <c r="K34" s="161">
        <f>37960/1000+433.165</f>
        <v>471.125</v>
      </c>
      <c r="L34" s="161"/>
      <c r="M34" s="162"/>
      <c r="N34" s="207"/>
      <c r="O34" s="68">
        <f t="shared" si="20"/>
        <v>1729.5509999999999</v>
      </c>
      <c r="P34" s="68">
        <f t="shared" si="15"/>
        <v>50.057000000000002</v>
      </c>
      <c r="Q34" s="68">
        <f t="shared" si="16"/>
        <v>282.37400000000002</v>
      </c>
      <c r="R34" s="68">
        <f t="shared" si="17"/>
        <v>1397.12</v>
      </c>
      <c r="S34" s="68">
        <f t="shared" si="18"/>
        <v>0</v>
      </c>
      <c r="T34" s="168"/>
      <c r="U34" s="172"/>
    </row>
    <row r="35" spans="1:22" s="143" customFormat="1">
      <c r="A35" s="121" t="s">
        <v>348</v>
      </c>
      <c r="B35" s="80" t="s">
        <v>101</v>
      </c>
      <c r="C35" s="121">
        <v>0</v>
      </c>
      <c r="D35" s="121">
        <v>0</v>
      </c>
      <c r="E35" s="121">
        <v>0</v>
      </c>
      <c r="F35" s="121">
        <v>0</v>
      </c>
      <c r="G35" s="121">
        <v>0</v>
      </c>
      <c r="H35" s="121">
        <v>0</v>
      </c>
      <c r="I35" s="121">
        <v>0</v>
      </c>
      <c r="J35" s="121">
        <v>0</v>
      </c>
      <c r="K35" s="121">
        <v>0</v>
      </c>
      <c r="L35" s="121">
        <v>0</v>
      </c>
      <c r="M35" s="119">
        <v>0</v>
      </c>
      <c r="N35" s="119">
        <v>0</v>
      </c>
      <c r="O35" s="68">
        <f>SUM(C35:N35)</f>
        <v>0</v>
      </c>
      <c r="P35" s="68">
        <f t="shared" si="15"/>
        <v>0</v>
      </c>
      <c r="Q35" s="68">
        <f t="shared" si="16"/>
        <v>0</v>
      </c>
      <c r="R35" s="68">
        <f t="shared" si="17"/>
        <v>0</v>
      </c>
      <c r="S35" s="68">
        <f t="shared" si="18"/>
        <v>0</v>
      </c>
      <c r="T35" s="168"/>
      <c r="U35" s="172"/>
    </row>
    <row r="36" spans="1:22" s="154" customFormat="1">
      <c r="A36" s="124" t="s">
        <v>361</v>
      </c>
      <c r="B36" s="124" t="s">
        <v>101</v>
      </c>
      <c r="C36" s="153">
        <f>SUM(C34:C35)</f>
        <v>2.4460000000000002</v>
      </c>
      <c r="D36" s="153">
        <f>SUM(D34:D35)</f>
        <v>18.544</v>
      </c>
      <c r="E36" s="163">
        <f t="shared" ref="E36:S36" si="21">SUM(E34:E35)</f>
        <v>29.067</v>
      </c>
      <c r="F36" s="163">
        <f t="shared" si="21"/>
        <v>31.936</v>
      </c>
      <c r="G36" s="163">
        <f t="shared" si="21"/>
        <v>27.452000000000002</v>
      </c>
      <c r="H36" s="163">
        <f t="shared" si="21"/>
        <v>222.98599999999999</v>
      </c>
      <c r="I36" s="163">
        <f t="shared" si="21"/>
        <v>345.63</v>
      </c>
      <c r="J36" s="163">
        <f t="shared" si="21"/>
        <v>580.36500000000001</v>
      </c>
      <c r="K36" s="163">
        <f t="shared" si="21"/>
        <v>471.125</v>
      </c>
      <c r="L36" s="163">
        <f t="shared" si="21"/>
        <v>0</v>
      </c>
      <c r="M36" s="163">
        <f t="shared" si="21"/>
        <v>0</v>
      </c>
      <c r="N36" s="153">
        <f t="shared" si="21"/>
        <v>0</v>
      </c>
      <c r="O36" s="153">
        <f>SUM(O34:O35)</f>
        <v>1729.5509999999999</v>
      </c>
      <c r="P36" s="153">
        <f t="shared" si="21"/>
        <v>50.057000000000002</v>
      </c>
      <c r="Q36" s="153">
        <f t="shared" si="21"/>
        <v>282.37400000000002</v>
      </c>
      <c r="R36" s="153">
        <f t="shared" si="21"/>
        <v>1397.12</v>
      </c>
      <c r="S36" s="153">
        <f t="shared" si="21"/>
        <v>0</v>
      </c>
      <c r="T36" s="171"/>
      <c r="U36" s="172"/>
    </row>
    <row r="37" spans="1:22" s="143" customFormat="1">
      <c r="A37" s="121" t="s">
        <v>349</v>
      </c>
      <c r="B37" s="80" t="s">
        <v>333</v>
      </c>
      <c r="C37" s="121">
        <v>3000</v>
      </c>
      <c r="D37" s="121">
        <v>3000</v>
      </c>
      <c r="E37" s="121">
        <v>3000</v>
      </c>
      <c r="F37" s="121">
        <v>3000</v>
      </c>
      <c r="G37" s="121">
        <v>3000</v>
      </c>
      <c r="H37" s="121">
        <v>3000</v>
      </c>
      <c r="I37" s="121">
        <v>3000</v>
      </c>
      <c r="J37" s="121">
        <v>3000</v>
      </c>
      <c r="K37" s="121">
        <v>3000</v>
      </c>
      <c r="L37" s="121">
        <v>3000</v>
      </c>
      <c r="M37" s="121">
        <v>3000</v>
      </c>
      <c r="N37" s="121">
        <v>3000</v>
      </c>
      <c r="O37" s="68">
        <f>IF(O36=0,"0",(SUMPRODUCT(C36:N36,C37:N37)/O36))</f>
        <v>3000</v>
      </c>
      <c r="P37" s="68">
        <f>IF(P36=0,"0",(SUMPRODUCT(C36:E36,C37:E37)/P36))</f>
        <v>3000</v>
      </c>
      <c r="Q37" s="68">
        <f>IF(Q36=0,"0",(SUMPRODUCT(F36:H36,F37:H37)/Q36))</f>
        <v>2999.9999999999995</v>
      </c>
      <c r="R37" s="68">
        <f>IF(R36=0,"0",(SUMPRODUCT(I36:K36,I37:K37)/R36))</f>
        <v>3000.0000000000005</v>
      </c>
      <c r="S37" s="68" t="str">
        <f>IF(S36=0,"0",(SUMPRODUCT(L36:N36,L37:N37)/S36))</f>
        <v>0</v>
      </c>
      <c r="T37" s="168"/>
      <c r="U37" s="172"/>
    </row>
    <row r="38" spans="1:22">
      <c r="A38" s="121" t="s">
        <v>320</v>
      </c>
      <c r="B38" s="80" t="s">
        <v>100</v>
      </c>
      <c r="C38" s="121"/>
      <c r="D38" s="121"/>
      <c r="E38" s="121"/>
      <c r="F38" s="121"/>
      <c r="G38" s="121"/>
      <c r="H38" s="121"/>
      <c r="I38" s="121"/>
      <c r="J38" s="119"/>
      <c r="K38" s="121"/>
      <c r="L38" s="121"/>
      <c r="M38" s="121"/>
      <c r="N38" s="121"/>
      <c r="O38" s="68">
        <f t="shared" ref="O38" si="22">SUM(C38:N38)</f>
        <v>0</v>
      </c>
      <c r="P38" s="68">
        <f t="shared" ref="P38:P39" si="23">SUM(C38:E38)</f>
        <v>0</v>
      </c>
      <c r="Q38" s="68">
        <f t="shared" ref="Q38:Q39" si="24">SUM(F38:H38)</f>
        <v>0</v>
      </c>
      <c r="R38" s="68">
        <f t="shared" ref="R38:R39" si="25">SUM(I38:K38)</f>
        <v>0</v>
      </c>
      <c r="S38" s="68">
        <f t="shared" ref="S38:S39" si="26">SUM(L38:N38)</f>
        <v>0</v>
      </c>
      <c r="T38" s="168"/>
    </row>
    <row r="39" spans="1:22">
      <c r="A39" s="121" t="s">
        <v>319</v>
      </c>
      <c r="B39" s="80" t="s">
        <v>100</v>
      </c>
      <c r="C39" s="121">
        <v>0</v>
      </c>
      <c r="D39" s="121">
        <v>0</v>
      </c>
      <c r="E39" s="161">
        <v>0</v>
      </c>
      <c r="F39" s="161">
        <v>0</v>
      </c>
      <c r="G39" s="161">
        <v>0</v>
      </c>
      <c r="H39" s="161">
        <v>0</v>
      </c>
      <c r="I39" s="161">
        <v>0</v>
      </c>
      <c r="J39" s="161"/>
      <c r="K39" s="161"/>
      <c r="L39" s="161"/>
      <c r="M39" s="161">
        <v>0</v>
      </c>
      <c r="N39" s="161">
        <v>0</v>
      </c>
      <c r="O39" s="68">
        <f>SUM(C39:N39)</f>
        <v>0</v>
      </c>
      <c r="P39" s="68">
        <f t="shared" si="23"/>
        <v>0</v>
      </c>
      <c r="Q39" s="68">
        <f t="shared" si="24"/>
        <v>0</v>
      </c>
      <c r="R39" s="68">
        <f t="shared" si="25"/>
        <v>0</v>
      </c>
      <c r="S39" s="68">
        <f t="shared" si="26"/>
        <v>0</v>
      </c>
      <c r="T39" s="168"/>
    </row>
    <row r="40" spans="1:22" s="145" customFormat="1">
      <c r="A40" s="124" t="s">
        <v>362</v>
      </c>
      <c r="B40" s="124" t="s">
        <v>100</v>
      </c>
      <c r="C40" s="153">
        <f t="shared" ref="C40:S42" si="27">SUM(C38:C39)</f>
        <v>0</v>
      </c>
      <c r="D40" s="153">
        <f t="shared" si="27"/>
        <v>0</v>
      </c>
      <c r="E40" s="153">
        <f t="shared" si="27"/>
        <v>0</v>
      </c>
      <c r="F40" s="153">
        <f t="shared" si="27"/>
        <v>0</v>
      </c>
      <c r="G40" s="153">
        <f t="shared" si="27"/>
        <v>0</v>
      </c>
      <c r="H40" s="153">
        <f t="shared" si="27"/>
        <v>0</v>
      </c>
      <c r="I40" s="153">
        <f t="shared" si="27"/>
        <v>0</v>
      </c>
      <c r="J40" s="153">
        <f t="shared" si="27"/>
        <v>0</v>
      </c>
      <c r="K40" s="153">
        <f t="shared" si="27"/>
        <v>0</v>
      </c>
      <c r="L40" s="153">
        <f t="shared" si="27"/>
        <v>0</v>
      </c>
      <c r="M40" s="153">
        <f t="shared" si="27"/>
        <v>0</v>
      </c>
      <c r="N40" s="153">
        <f t="shared" si="27"/>
        <v>0</v>
      </c>
      <c r="O40" s="153">
        <f t="shared" si="27"/>
        <v>0</v>
      </c>
      <c r="P40" s="153">
        <f t="shared" si="27"/>
        <v>0</v>
      </c>
      <c r="Q40" s="153">
        <f t="shared" si="27"/>
        <v>0</v>
      </c>
      <c r="R40" s="153">
        <f t="shared" si="27"/>
        <v>0</v>
      </c>
      <c r="S40" s="153">
        <f t="shared" si="27"/>
        <v>0</v>
      </c>
      <c r="T40" s="171"/>
      <c r="U40" s="157"/>
    </row>
    <row r="41" spans="1:22" s="143" customFormat="1" hidden="1">
      <c r="A41" s="144" t="s">
        <v>255</v>
      </c>
      <c r="B41" s="144" t="s">
        <v>100</v>
      </c>
      <c r="C41" s="119"/>
      <c r="D41" s="119"/>
      <c r="E41" s="119"/>
      <c r="F41" s="119"/>
      <c r="G41" s="119"/>
      <c r="H41" s="119"/>
      <c r="I41" s="119"/>
      <c r="J41" s="119"/>
      <c r="K41" s="119"/>
      <c r="L41" s="119"/>
      <c r="M41" s="119"/>
      <c r="N41" s="119"/>
      <c r="O41" s="153">
        <f t="shared" si="27"/>
        <v>0</v>
      </c>
      <c r="P41" s="153">
        <f t="shared" si="27"/>
        <v>0</v>
      </c>
      <c r="Q41" s="153">
        <f t="shared" si="27"/>
        <v>0</v>
      </c>
      <c r="R41" s="153">
        <f t="shared" si="27"/>
        <v>0</v>
      </c>
      <c r="S41" s="153">
        <f t="shared" si="27"/>
        <v>0</v>
      </c>
      <c r="T41" s="168"/>
      <c r="U41" s="172"/>
    </row>
    <row r="42" spans="1:22" s="143" customFormat="1" hidden="1">
      <c r="A42" s="144" t="s">
        <v>256</v>
      </c>
      <c r="B42" s="144" t="s">
        <v>100</v>
      </c>
      <c r="C42" s="119"/>
      <c r="D42" s="119"/>
      <c r="E42" s="119"/>
      <c r="F42" s="119"/>
      <c r="G42" s="119"/>
      <c r="H42" s="119"/>
      <c r="I42" s="119"/>
      <c r="J42" s="119"/>
      <c r="K42" s="119"/>
      <c r="L42" s="119"/>
      <c r="M42" s="119"/>
      <c r="N42" s="119"/>
      <c r="O42" s="153">
        <f t="shared" si="27"/>
        <v>0</v>
      </c>
      <c r="P42" s="153">
        <f t="shared" si="27"/>
        <v>0</v>
      </c>
      <c r="Q42" s="153">
        <f t="shared" si="27"/>
        <v>0</v>
      </c>
      <c r="R42" s="153">
        <f t="shared" si="27"/>
        <v>0</v>
      </c>
      <c r="S42" s="153">
        <f t="shared" si="27"/>
        <v>0</v>
      </c>
      <c r="T42" s="168"/>
      <c r="U42" s="172"/>
    </row>
    <row r="43" spans="1:22">
      <c r="A43" s="130" t="s">
        <v>336</v>
      </c>
      <c r="B43" s="68" t="s">
        <v>98</v>
      </c>
      <c r="C43" s="68">
        <f>(C3*C18*(4186/1000000))+(C4*C19*(4186/1000000))+(C5*C20*(4186/1000000))+(C6*C21*(4186/1000000)+(C26*$C$101)+(C27*$C$102)+(C28*$C$103)+(C29*$C$104)+(C30*$C$107)+(C31*$C$107)+(C32*$C$109)+(C33*$C$110)+(C34*C37*(4186/1000000))+(C69*$C$107))</f>
        <v>13998.896548000001</v>
      </c>
      <c r="D43" s="68">
        <f t="shared" ref="D43:N43" si="28">(D3*D18*(4186/1000000))+(D4*D19*(4186/1000000))+(D5*D20*(4186/1000000))+(D6*D21*(4186/1000000)+(D26*$C$101)+(D27*$C$102)+(D28*$C$103)+(D29*$C$104)+(D30*$C$107)+(D31*$C$107)+(D32*$C$109)+(D33*$C$110)+(D34*D37*(4186/1000000))+(D69*$C$107))</f>
        <v>10957.3849476</v>
      </c>
      <c r="E43" s="68">
        <f t="shared" si="28"/>
        <v>29325.250090499998</v>
      </c>
      <c r="F43" s="68">
        <f t="shared" si="28"/>
        <v>25202.07265758</v>
      </c>
      <c r="G43" s="68">
        <f t="shared" si="28"/>
        <v>24911.61599654</v>
      </c>
      <c r="H43" s="68">
        <f t="shared" si="28"/>
        <v>26301.59969164</v>
      </c>
      <c r="I43" s="68">
        <f t="shared" si="28"/>
        <v>30707.498392479996</v>
      </c>
      <c r="J43" s="68">
        <f t="shared" si="28"/>
        <v>30146.256591359997</v>
      </c>
      <c r="K43" s="68">
        <f t="shared" si="28"/>
        <v>20486.00676122</v>
      </c>
      <c r="L43" s="68">
        <f t="shared" si="28"/>
        <v>0</v>
      </c>
      <c r="M43" s="68">
        <f t="shared" si="28"/>
        <v>0</v>
      </c>
      <c r="N43" s="68">
        <f t="shared" si="28"/>
        <v>0</v>
      </c>
      <c r="O43" s="155">
        <f t="shared" ref="O43:O45" si="29">SUM(C43:N43)</f>
        <v>212036.58167691997</v>
      </c>
      <c r="P43" s="155">
        <f t="shared" ref="P43:P45" si="30">SUM(C43:E43)</f>
        <v>54281.531586099998</v>
      </c>
      <c r="Q43" s="155">
        <f t="shared" ref="Q43:Q45" si="31">SUM(F43:H43)</f>
        <v>76415.288345759996</v>
      </c>
      <c r="R43" s="155">
        <f t="shared" ref="R43:R45" si="32">SUM(I43:K43)</f>
        <v>81339.761745059994</v>
      </c>
      <c r="S43" s="155">
        <f t="shared" ref="S43:S45" si="33">SUM(L43:N43)</f>
        <v>0</v>
      </c>
      <c r="T43" s="168"/>
    </row>
    <row r="44" spans="1:22">
      <c r="A44" s="130" t="s">
        <v>337</v>
      </c>
      <c r="B44" s="68" t="s">
        <v>98</v>
      </c>
      <c r="C44" s="68">
        <f>(C7*C18)+(C8*C19)+(C9*C20)+(C10*C21)+(C35*C37*(4186/1000000))</f>
        <v>0</v>
      </c>
      <c r="D44" s="68">
        <f t="shared" ref="D44:N44" si="34">(D7*D18)+(D8*D19)+(D9*D20)+(D10*D21)+(D35*D37*(4186/1000000))</f>
        <v>0</v>
      </c>
      <c r="E44" s="68">
        <f t="shared" si="34"/>
        <v>0</v>
      </c>
      <c r="F44" s="68">
        <f t="shared" si="34"/>
        <v>0</v>
      </c>
      <c r="G44" s="68">
        <f t="shared" si="34"/>
        <v>0</v>
      </c>
      <c r="H44" s="68">
        <f t="shared" si="34"/>
        <v>0</v>
      </c>
      <c r="I44" s="68">
        <f t="shared" si="34"/>
        <v>0</v>
      </c>
      <c r="J44" s="68">
        <f t="shared" si="34"/>
        <v>0</v>
      </c>
      <c r="K44" s="68">
        <f t="shared" si="34"/>
        <v>0</v>
      </c>
      <c r="L44" s="68">
        <f t="shared" si="34"/>
        <v>0</v>
      </c>
      <c r="M44" s="68">
        <f t="shared" si="34"/>
        <v>0</v>
      </c>
      <c r="N44" s="68">
        <f t="shared" si="34"/>
        <v>0</v>
      </c>
      <c r="O44" s="155">
        <f t="shared" si="29"/>
        <v>0</v>
      </c>
      <c r="P44" s="155">
        <f t="shared" si="30"/>
        <v>0</v>
      </c>
      <c r="Q44" s="155">
        <f t="shared" si="31"/>
        <v>0</v>
      </c>
      <c r="R44" s="155">
        <f t="shared" si="32"/>
        <v>0</v>
      </c>
      <c r="S44" s="155">
        <f t="shared" si="33"/>
        <v>0</v>
      </c>
      <c r="T44" s="168"/>
    </row>
    <row r="45" spans="1:22" s="145" customFormat="1">
      <c r="A45" s="202" t="s">
        <v>363</v>
      </c>
      <c r="B45" s="203" t="s">
        <v>98</v>
      </c>
      <c r="C45" s="203">
        <f>(C11*C18*(4186/1000000))+(C12*C19*(4186/1000000))+(C13*C20*(4186/1000000))+(C14*C21*(4186/1000000))+(C26*$C$101)+(C27*$C$102)+(C28*$C$103)+(C29*$C$104)+(C30*$C$107)+(C31*$C$107)+(C32*$C$109)+(C33*$C$110)+(C36*C37*(4186/1000000))+(C69*$C$107)</f>
        <v>13998.896547999999</v>
      </c>
      <c r="D45" s="203">
        <f t="shared" ref="D45:N45" si="35">(D11*D18*(4186/1000000))+(D12*D19*(4186/1000000))+(D13*D20*(4186/1000000))+(D14*D21*(4186/1000000))+(D26*$C$101)+(D27*$C$102)+(D28*$C$103)+(D29*$C$104)+(D30*$C$107)+(D31*$C$107)+(D32*$C$109)+(D33*$C$110)+(D36*D37*(4186/1000000))+(D69*$C$107)</f>
        <v>10957.384947599998</v>
      </c>
      <c r="E45" s="203">
        <f t="shared" si="35"/>
        <v>29325.250090499998</v>
      </c>
      <c r="F45" s="203">
        <f>(F11*F18*(4186/1000000))+(F12*F19*(4186/1000000))+(F13*F20*(4186/1000000))+(F14*F21*(4186/1000000))+(F26*$C$101)+(F27*$C$102)+(F28*$C$103)+(F29*$C$104)+(F30*$C$107)+(F31*$C$107)+(F32*$C$109)+(F33*$C$110)+(F36*F37*(4186/1000000))+(F69*$C$107)</f>
        <v>25202.072657579996</v>
      </c>
      <c r="G45" s="203">
        <f t="shared" si="35"/>
        <v>24911.61599654</v>
      </c>
      <c r="H45" s="203">
        <f t="shared" si="35"/>
        <v>26301.59969164</v>
      </c>
      <c r="I45" s="203">
        <f t="shared" si="35"/>
        <v>30707.498392479993</v>
      </c>
      <c r="J45" s="203">
        <f t="shared" si="35"/>
        <v>30146.256591359997</v>
      </c>
      <c r="K45" s="203">
        <f t="shared" si="35"/>
        <v>20486.00676122</v>
      </c>
      <c r="L45" s="203">
        <f t="shared" si="35"/>
        <v>0</v>
      </c>
      <c r="M45" s="203">
        <f t="shared" si="35"/>
        <v>0</v>
      </c>
      <c r="N45" s="203">
        <f t="shared" si="35"/>
        <v>0</v>
      </c>
      <c r="O45" s="202">
        <f t="shared" si="29"/>
        <v>212036.58167691997</v>
      </c>
      <c r="P45" s="202">
        <f t="shared" si="30"/>
        <v>54281.531586099998</v>
      </c>
      <c r="Q45" s="202">
        <f t="shared" si="31"/>
        <v>76415.288345759996</v>
      </c>
      <c r="R45" s="202">
        <f t="shared" si="32"/>
        <v>81339.761745059979</v>
      </c>
      <c r="S45" s="202">
        <f t="shared" si="33"/>
        <v>0</v>
      </c>
      <c r="T45" s="173" t="s">
        <v>407</v>
      </c>
      <c r="U45" s="174">
        <f>O45/'Production, Raw Mat'!$O$5</f>
        <v>1.2508655112896823</v>
      </c>
      <c r="V45" s="132" t="s">
        <v>120</v>
      </c>
    </row>
    <row r="46" spans="1:22" s="145" customFormat="1" ht="12" customHeight="1">
      <c r="A46" s="130" t="s">
        <v>366</v>
      </c>
      <c r="B46" s="68" t="s">
        <v>98</v>
      </c>
      <c r="C46" s="146">
        <f>(C23*(4186/1000000))+(C26*$C$101)+(C27*$C$102)+(C28*$C$103)+(C29*$C$104)+(C30*$C$107)+(C31*$C$107)+(C32*$C$109)+(C33*$C$110)+(C69*$C$107)</f>
        <v>0</v>
      </c>
      <c r="D46" s="146">
        <f t="shared" ref="D46:N46" si="36">(D23*(4186/1000000))+(D26*$C$101)+(D27*$C$102)+(D28*$C$103)+(D29*$C$104)+(D30*$C$107)+(D31*$C$107)+(D32*$C$109)+(D33*$C$110)+(D69*$C$107)</f>
        <v>0</v>
      </c>
      <c r="E46" s="146">
        <f t="shared" si="36"/>
        <v>0</v>
      </c>
      <c r="F46" s="146">
        <f t="shared" si="36"/>
        <v>0</v>
      </c>
      <c r="G46" s="146">
        <f t="shared" si="36"/>
        <v>0</v>
      </c>
      <c r="H46" s="146">
        <f t="shared" si="36"/>
        <v>0</v>
      </c>
      <c r="I46" s="146">
        <f t="shared" si="36"/>
        <v>0</v>
      </c>
      <c r="J46" s="146">
        <f t="shared" si="36"/>
        <v>0</v>
      </c>
      <c r="K46" s="146">
        <f t="shared" si="36"/>
        <v>0</v>
      </c>
      <c r="L46" s="146">
        <f t="shared" si="36"/>
        <v>0</v>
      </c>
      <c r="M46" s="146">
        <f t="shared" si="36"/>
        <v>0</v>
      </c>
      <c r="N46" s="146">
        <f t="shared" si="36"/>
        <v>0</v>
      </c>
      <c r="O46" s="146">
        <f t="shared" ref="O46:O54" si="37">SUM(C46:N46)</f>
        <v>0</v>
      </c>
      <c r="P46" s="146">
        <f t="shared" ref="P46:P54" si="38">SUM(C46:E46)</f>
        <v>0</v>
      </c>
      <c r="Q46" s="146">
        <f t="shared" ref="Q46:Q54" si="39">SUM(F46:H46)</f>
        <v>0</v>
      </c>
      <c r="R46" s="146">
        <f t="shared" ref="R46:R54" si="40">SUM(I46:K46)</f>
        <v>0</v>
      </c>
      <c r="S46" s="146">
        <f t="shared" ref="S46:S54" si="41">SUM(L46:N46)</f>
        <v>0</v>
      </c>
      <c r="T46" s="168"/>
      <c r="U46" s="157"/>
    </row>
    <row r="47" spans="1:22" s="145" customFormat="1" ht="12" customHeight="1">
      <c r="A47" s="130" t="s">
        <v>367</v>
      </c>
      <c r="B47" s="68" t="s">
        <v>98</v>
      </c>
      <c r="C47" s="146">
        <f t="shared" ref="C47:N47" si="42">(C24*(4186/1000000))</f>
        <v>0</v>
      </c>
      <c r="D47" s="146">
        <f t="shared" si="42"/>
        <v>0</v>
      </c>
      <c r="E47" s="146">
        <f t="shared" si="42"/>
        <v>0</v>
      </c>
      <c r="F47" s="146">
        <f t="shared" si="42"/>
        <v>0</v>
      </c>
      <c r="G47" s="146">
        <f t="shared" si="42"/>
        <v>0</v>
      </c>
      <c r="H47" s="146">
        <f t="shared" si="42"/>
        <v>0</v>
      </c>
      <c r="I47" s="146">
        <f t="shared" si="42"/>
        <v>0</v>
      </c>
      <c r="J47" s="146">
        <f t="shared" si="42"/>
        <v>0</v>
      </c>
      <c r="K47" s="146">
        <f t="shared" si="42"/>
        <v>0</v>
      </c>
      <c r="L47" s="146">
        <f t="shared" si="42"/>
        <v>0</v>
      </c>
      <c r="M47" s="146">
        <f t="shared" si="42"/>
        <v>0</v>
      </c>
      <c r="N47" s="146">
        <f t="shared" si="42"/>
        <v>0</v>
      </c>
      <c r="O47" s="146">
        <f t="shared" si="37"/>
        <v>0</v>
      </c>
      <c r="P47" s="146">
        <f t="shared" si="38"/>
        <v>0</v>
      </c>
      <c r="Q47" s="146">
        <f t="shared" si="39"/>
        <v>0</v>
      </c>
      <c r="R47" s="146">
        <f t="shared" si="40"/>
        <v>0</v>
      </c>
      <c r="S47" s="146">
        <f t="shared" si="41"/>
        <v>0</v>
      </c>
      <c r="T47" s="168"/>
      <c r="U47" s="157"/>
    </row>
    <row r="48" spans="1:22" s="145" customFormat="1" ht="12" customHeight="1">
      <c r="A48" s="153" t="s">
        <v>368</v>
      </c>
      <c r="B48" s="124" t="s">
        <v>98</v>
      </c>
      <c r="C48" s="124">
        <f t="shared" ref="C48:N48" si="43">(C25*(4186/1000000))+(C26*$C$101)+(C27*$C$102)+(C28*$C$103)+(C29*$C$104)+(C30*$C$107)+(C31*$C$107)+(C32*$C$109)+(C33*$C$110)+(C69*$C$107)</f>
        <v>0</v>
      </c>
      <c r="D48" s="124">
        <f t="shared" si="43"/>
        <v>0</v>
      </c>
      <c r="E48" s="124">
        <f t="shared" si="43"/>
        <v>0</v>
      </c>
      <c r="F48" s="124">
        <f t="shared" si="43"/>
        <v>0</v>
      </c>
      <c r="G48" s="124">
        <f t="shared" si="43"/>
        <v>0</v>
      </c>
      <c r="H48" s="124">
        <f t="shared" si="43"/>
        <v>0</v>
      </c>
      <c r="I48" s="124">
        <f t="shared" si="43"/>
        <v>0</v>
      </c>
      <c r="J48" s="124">
        <f t="shared" si="43"/>
        <v>0</v>
      </c>
      <c r="K48" s="124">
        <f t="shared" si="43"/>
        <v>0</v>
      </c>
      <c r="L48" s="124">
        <f t="shared" si="43"/>
        <v>0</v>
      </c>
      <c r="M48" s="124">
        <f t="shared" si="43"/>
        <v>0</v>
      </c>
      <c r="N48" s="124">
        <f t="shared" si="43"/>
        <v>0</v>
      </c>
      <c r="O48" s="124">
        <f t="shared" si="37"/>
        <v>0</v>
      </c>
      <c r="P48" s="124">
        <f t="shared" si="38"/>
        <v>0</v>
      </c>
      <c r="Q48" s="124">
        <f t="shared" si="39"/>
        <v>0</v>
      </c>
      <c r="R48" s="124">
        <f t="shared" si="40"/>
        <v>0</v>
      </c>
      <c r="S48" s="124">
        <f t="shared" si="41"/>
        <v>0</v>
      </c>
      <c r="T48" s="168"/>
      <c r="U48" s="174"/>
    </row>
    <row r="49" spans="1:22">
      <c r="A49" s="68" t="s">
        <v>322</v>
      </c>
      <c r="B49" s="68" t="s">
        <v>98</v>
      </c>
      <c r="C49" s="68">
        <f t="shared" ref="C49:N49" si="44">(C38*$C$112)+(C41*$C$113)+(C42*$C$114)</f>
        <v>0</v>
      </c>
      <c r="D49" s="68">
        <f t="shared" si="44"/>
        <v>0</v>
      </c>
      <c r="E49" s="68">
        <f t="shared" si="44"/>
        <v>0</v>
      </c>
      <c r="F49" s="68">
        <f t="shared" si="44"/>
        <v>0</v>
      </c>
      <c r="G49" s="68">
        <f t="shared" si="44"/>
        <v>0</v>
      </c>
      <c r="H49" s="68">
        <f t="shared" si="44"/>
        <v>0</v>
      </c>
      <c r="I49" s="68">
        <f t="shared" si="44"/>
        <v>0</v>
      </c>
      <c r="J49" s="68">
        <f t="shared" si="44"/>
        <v>0</v>
      </c>
      <c r="K49" s="68">
        <f t="shared" si="44"/>
        <v>0</v>
      </c>
      <c r="L49" s="68">
        <f t="shared" si="44"/>
        <v>0</v>
      </c>
      <c r="M49" s="68">
        <f t="shared" si="44"/>
        <v>0</v>
      </c>
      <c r="N49" s="68">
        <f t="shared" si="44"/>
        <v>0</v>
      </c>
      <c r="O49" s="68">
        <f t="shared" si="37"/>
        <v>0</v>
      </c>
      <c r="P49" s="68">
        <f t="shared" si="38"/>
        <v>0</v>
      </c>
      <c r="Q49" s="68">
        <f t="shared" si="39"/>
        <v>0</v>
      </c>
      <c r="R49" s="68">
        <f t="shared" si="40"/>
        <v>0</v>
      </c>
      <c r="S49" s="68">
        <f t="shared" si="41"/>
        <v>0</v>
      </c>
      <c r="T49" s="168"/>
    </row>
    <row r="50" spans="1:22">
      <c r="A50" s="68" t="s">
        <v>321</v>
      </c>
      <c r="B50" s="68" t="s">
        <v>98</v>
      </c>
      <c r="C50" s="78">
        <f t="shared" ref="C50:N50" si="45">(C39*$C$112)</f>
        <v>0</v>
      </c>
      <c r="D50" s="78">
        <f t="shared" si="45"/>
        <v>0</v>
      </c>
      <c r="E50" s="78">
        <f t="shared" si="45"/>
        <v>0</v>
      </c>
      <c r="F50" s="78">
        <f t="shared" si="45"/>
        <v>0</v>
      </c>
      <c r="G50" s="78">
        <f t="shared" si="45"/>
        <v>0</v>
      </c>
      <c r="H50" s="78">
        <f t="shared" si="45"/>
        <v>0</v>
      </c>
      <c r="I50" s="78">
        <f t="shared" si="45"/>
        <v>0</v>
      </c>
      <c r="J50" s="78">
        <f t="shared" si="45"/>
        <v>0</v>
      </c>
      <c r="K50" s="78">
        <f t="shared" si="45"/>
        <v>0</v>
      </c>
      <c r="L50" s="78">
        <f t="shared" si="45"/>
        <v>0</v>
      </c>
      <c r="M50" s="78">
        <f t="shared" si="45"/>
        <v>0</v>
      </c>
      <c r="N50" s="78">
        <f t="shared" si="45"/>
        <v>0</v>
      </c>
      <c r="O50" s="78">
        <f t="shared" si="37"/>
        <v>0</v>
      </c>
      <c r="P50" s="78">
        <f t="shared" si="38"/>
        <v>0</v>
      </c>
      <c r="Q50" s="78">
        <f t="shared" si="39"/>
        <v>0</v>
      </c>
      <c r="R50" s="78">
        <f t="shared" si="40"/>
        <v>0</v>
      </c>
      <c r="S50" s="78">
        <f t="shared" si="41"/>
        <v>0</v>
      </c>
      <c r="T50" s="168"/>
    </row>
    <row r="51" spans="1:22" s="145" customFormat="1">
      <c r="A51" s="203" t="s">
        <v>364</v>
      </c>
      <c r="B51" s="203" t="s">
        <v>98</v>
      </c>
      <c r="C51" s="204">
        <f t="shared" ref="C51:N51" si="46">(C40*$C$112)+(C41*$C$113)+(C42*$C$114)</f>
        <v>0</v>
      </c>
      <c r="D51" s="204">
        <f t="shared" si="46"/>
        <v>0</v>
      </c>
      <c r="E51" s="204">
        <f t="shared" si="46"/>
        <v>0</v>
      </c>
      <c r="F51" s="204">
        <f t="shared" si="46"/>
        <v>0</v>
      </c>
      <c r="G51" s="204">
        <f t="shared" si="46"/>
        <v>0</v>
      </c>
      <c r="H51" s="204">
        <f t="shared" si="46"/>
        <v>0</v>
      </c>
      <c r="I51" s="204">
        <f t="shared" si="46"/>
        <v>0</v>
      </c>
      <c r="J51" s="204">
        <f t="shared" si="46"/>
        <v>0</v>
      </c>
      <c r="K51" s="204">
        <f t="shared" si="46"/>
        <v>0</v>
      </c>
      <c r="L51" s="204">
        <f t="shared" si="46"/>
        <v>0</v>
      </c>
      <c r="M51" s="204">
        <f t="shared" si="46"/>
        <v>0</v>
      </c>
      <c r="N51" s="204">
        <f t="shared" si="46"/>
        <v>0</v>
      </c>
      <c r="O51" s="204">
        <f t="shared" si="37"/>
        <v>0</v>
      </c>
      <c r="P51" s="204">
        <f t="shared" si="38"/>
        <v>0</v>
      </c>
      <c r="Q51" s="204">
        <f t="shared" si="39"/>
        <v>0</v>
      </c>
      <c r="R51" s="204">
        <f t="shared" si="40"/>
        <v>0</v>
      </c>
      <c r="S51" s="204">
        <f t="shared" si="41"/>
        <v>0</v>
      </c>
      <c r="T51" s="173" t="s">
        <v>407</v>
      </c>
      <c r="U51" s="174">
        <f>O51/'Production, Raw Mat'!$O$5</f>
        <v>0</v>
      </c>
      <c r="V51" s="132" t="s">
        <v>120</v>
      </c>
    </row>
    <row r="52" spans="1:22">
      <c r="A52" s="68" t="s">
        <v>323</v>
      </c>
      <c r="B52" s="68" t="s">
        <v>98</v>
      </c>
      <c r="C52" s="78">
        <f t="shared" ref="C52:N52" si="47">(C34*C37*(4186/1000000))</f>
        <v>30.716868000000002</v>
      </c>
      <c r="D52" s="78">
        <f t="shared" si="47"/>
        <v>232.87555199999997</v>
      </c>
      <c r="E52" s="78">
        <f t="shared" si="47"/>
        <v>365.02338599999996</v>
      </c>
      <c r="F52" s="78">
        <f>(F34*F37*(4186/1000000))</f>
        <v>401.05228799999998</v>
      </c>
      <c r="G52" s="78">
        <f t="shared" si="47"/>
        <v>344.74221599999998</v>
      </c>
      <c r="H52" s="78">
        <f t="shared" si="47"/>
        <v>2800.2581879999998</v>
      </c>
      <c r="I52" s="78">
        <f t="shared" si="47"/>
        <v>4340.4215399999994</v>
      </c>
      <c r="J52" s="78">
        <f t="shared" si="47"/>
        <v>7288.2236699999994</v>
      </c>
      <c r="K52" s="78">
        <f t="shared" si="47"/>
        <v>5916.3877499999999</v>
      </c>
      <c r="L52" s="78">
        <f t="shared" si="47"/>
        <v>0</v>
      </c>
      <c r="M52" s="78">
        <f t="shared" si="47"/>
        <v>0</v>
      </c>
      <c r="N52" s="78">
        <f t="shared" si="47"/>
        <v>0</v>
      </c>
      <c r="O52" s="78">
        <f t="shared" si="37"/>
        <v>21719.701457999996</v>
      </c>
      <c r="P52" s="78">
        <f t="shared" si="38"/>
        <v>628.61580599999991</v>
      </c>
      <c r="Q52" s="78">
        <f t="shared" si="39"/>
        <v>3546.0526919999998</v>
      </c>
      <c r="R52" s="78">
        <f t="shared" si="40"/>
        <v>17545.032959999997</v>
      </c>
      <c r="S52" s="78">
        <f t="shared" si="41"/>
        <v>0</v>
      </c>
      <c r="T52" s="168"/>
    </row>
    <row r="53" spans="1:22">
      <c r="A53" s="68" t="s">
        <v>324</v>
      </c>
      <c r="B53" s="68" t="s">
        <v>98</v>
      </c>
      <c r="C53" s="78">
        <f>(C35*C37*(4186/1000000))</f>
        <v>0</v>
      </c>
      <c r="D53" s="78">
        <f t="shared" ref="D53:N53" si="48">(D35*D37*(4186/1000000))</f>
        <v>0</v>
      </c>
      <c r="E53" s="78">
        <f t="shared" si="48"/>
        <v>0</v>
      </c>
      <c r="F53" s="78">
        <f t="shared" si="48"/>
        <v>0</v>
      </c>
      <c r="G53" s="78">
        <f t="shared" si="48"/>
        <v>0</v>
      </c>
      <c r="H53" s="78">
        <f t="shared" si="48"/>
        <v>0</v>
      </c>
      <c r="I53" s="78">
        <f t="shared" si="48"/>
        <v>0</v>
      </c>
      <c r="J53" s="78">
        <f t="shared" si="48"/>
        <v>0</v>
      </c>
      <c r="K53" s="78">
        <f t="shared" si="48"/>
        <v>0</v>
      </c>
      <c r="L53" s="78">
        <f t="shared" si="48"/>
        <v>0</v>
      </c>
      <c r="M53" s="78">
        <f t="shared" si="48"/>
        <v>0</v>
      </c>
      <c r="N53" s="78">
        <f t="shared" si="48"/>
        <v>0</v>
      </c>
      <c r="O53" s="78">
        <f t="shared" si="37"/>
        <v>0</v>
      </c>
      <c r="P53" s="78">
        <f t="shared" si="38"/>
        <v>0</v>
      </c>
      <c r="Q53" s="78">
        <f t="shared" si="39"/>
        <v>0</v>
      </c>
      <c r="R53" s="78">
        <f t="shared" si="40"/>
        <v>0</v>
      </c>
      <c r="S53" s="78">
        <f t="shared" si="41"/>
        <v>0</v>
      </c>
      <c r="T53" s="168"/>
    </row>
    <row r="54" spans="1:22" s="145" customFormat="1">
      <c r="A54" s="124" t="s">
        <v>365</v>
      </c>
      <c r="B54" s="124" t="s">
        <v>98</v>
      </c>
      <c r="C54" s="156">
        <f>(C36*C37*(4186/1000000))</f>
        <v>30.716868000000002</v>
      </c>
      <c r="D54" s="156">
        <f t="shared" ref="D54:N54" si="49">(D36*D37*(4186/1000000))</f>
        <v>232.87555199999997</v>
      </c>
      <c r="E54" s="156">
        <f t="shared" si="49"/>
        <v>365.02338599999996</v>
      </c>
      <c r="F54" s="156">
        <f t="shared" si="49"/>
        <v>401.05228799999998</v>
      </c>
      <c r="G54" s="156">
        <f t="shared" si="49"/>
        <v>344.74221599999998</v>
      </c>
      <c r="H54" s="156">
        <f t="shared" si="49"/>
        <v>2800.2581879999998</v>
      </c>
      <c r="I54" s="156">
        <f t="shared" si="49"/>
        <v>4340.4215399999994</v>
      </c>
      <c r="J54" s="156">
        <f t="shared" si="49"/>
        <v>7288.2236699999994</v>
      </c>
      <c r="K54" s="156">
        <f t="shared" si="49"/>
        <v>5916.3877499999999</v>
      </c>
      <c r="L54" s="156">
        <f t="shared" si="49"/>
        <v>0</v>
      </c>
      <c r="M54" s="156">
        <f t="shared" si="49"/>
        <v>0</v>
      </c>
      <c r="N54" s="156">
        <f t="shared" si="49"/>
        <v>0</v>
      </c>
      <c r="O54" s="156">
        <f t="shared" si="37"/>
        <v>21719.701457999996</v>
      </c>
      <c r="P54" s="156">
        <f t="shared" si="38"/>
        <v>628.61580599999991</v>
      </c>
      <c r="Q54" s="156">
        <f t="shared" si="39"/>
        <v>3546.0526919999998</v>
      </c>
      <c r="R54" s="156">
        <f t="shared" si="40"/>
        <v>17545.032959999997</v>
      </c>
      <c r="S54" s="156">
        <f t="shared" si="41"/>
        <v>0</v>
      </c>
      <c r="T54" s="173" t="s">
        <v>407</v>
      </c>
      <c r="U54" s="175">
        <f>O54/'Production, Raw Mat'!$O$5</f>
        <v>0.12813084069953995</v>
      </c>
      <c r="V54" s="132" t="s">
        <v>120</v>
      </c>
    </row>
    <row r="55" spans="1:22">
      <c r="A55" s="68" t="s">
        <v>338</v>
      </c>
      <c r="B55" s="68" t="s">
        <v>98</v>
      </c>
      <c r="C55" s="78">
        <f>C43+C49</f>
        <v>13998.896548000001</v>
      </c>
      <c r="D55" s="78">
        <f t="shared" ref="D55:S56" si="50">D43+D49</f>
        <v>10957.3849476</v>
      </c>
      <c r="E55" s="78">
        <f t="shared" si="50"/>
        <v>29325.250090499998</v>
      </c>
      <c r="F55" s="78">
        <f>F43+F49</f>
        <v>25202.07265758</v>
      </c>
      <c r="G55" s="78">
        <f t="shared" si="50"/>
        <v>24911.61599654</v>
      </c>
      <c r="H55" s="78">
        <f t="shared" si="50"/>
        <v>26301.59969164</v>
      </c>
      <c r="I55" s="78">
        <f t="shared" si="50"/>
        <v>30707.498392479996</v>
      </c>
      <c r="J55" s="78">
        <f t="shared" si="50"/>
        <v>30146.256591359997</v>
      </c>
      <c r="K55" s="78">
        <f t="shared" si="50"/>
        <v>20486.00676122</v>
      </c>
      <c r="L55" s="78">
        <f t="shared" si="50"/>
        <v>0</v>
      </c>
      <c r="M55" s="78">
        <f t="shared" si="50"/>
        <v>0</v>
      </c>
      <c r="N55" s="78">
        <f t="shared" si="50"/>
        <v>0</v>
      </c>
      <c r="O55" s="78">
        <f t="shared" si="50"/>
        <v>212036.58167691997</v>
      </c>
      <c r="P55" s="78">
        <f t="shared" si="50"/>
        <v>54281.531586099998</v>
      </c>
      <c r="Q55" s="78">
        <f t="shared" si="50"/>
        <v>76415.288345759996</v>
      </c>
      <c r="R55" s="78">
        <f t="shared" si="50"/>
        <v>81339.761745059994</v>
      </c>
      <c r="S55" s="78">
        <f t="shared" si="50"/>
        <v>0</v>
      </c>
      <c r="T55" s="168"/>
    </row>
    <row r="56" spans="1:22">
      <c r="A56" s="68" t="s">
        <v>339</v>
      </c>
      <c r="B56" s="68" t="s">
        <v>98</v>
      </c>
      <c r="C56" s="78">
        <f>C44+C50</f>
        <v>0</v>
      </c>
      <c r="D56" s="78">
        <f>D44+D50</f>
        <v>0</v>
      </c>
      <c r="E56" s="78">
        <f t="shared" si="50"/>
        <v>0</v>
      </c>
      <c r="F56" s="78">
        <f t="shared" si="50"/>
        <v>0</v>
      </c>
      <c r="G56" s="78">
        <f t="shared" si="50"/>
        <v>0</v>
      </c>
      <c r="H56" s="78">
        <f t="shared" si="50"/>
        <v>0</v>
      </c>
      <c r="I56" s="78">
        <f t="shared" si="50"/>
        <v>0</v>
      </c>
      <c r="J56" s="78">
        <f>J44+J50</f>
        <v>0</v>
      </c>
      <c r="K56" s="78">
        <f t="shared" si="50"/>
        <v>0</v>
      </c>
      <c r="L56" s="78">
        <f t="shared" si="50"/>
        <v>0</v>
      </c>
      <c r="M56" s="78">
        <f t="shared" si="50"/>
        <v>0</v>
      </c>
      <c r="N56" s="78">
        <f t="shared" si="50"/>
        <v>0</v>
      </c>
      <c r="O56" s="78">
        <f t="shared" si="50"/>
        <v>0</v>
      </c>
      <c r="P56" s="78">
        <f t="shared" si="50"/>
        <v>0</v>
      </c>
      <c r="Q56" s="78">
        <f t="shared" si="50"/>
        <v>0</v>
      </c>
      <c r="R56" s="78">
        <f t="shared" si="50"/>
        <v>0</v>
      </c>
      <c r="S56" s="78">
        <f t="shared" si="50"/>
        <v>0</v>
      </c>
      <c r="T56" s="168"/>
    </row>
    <row r="57" spans="1:22" s="145" customFormat="1">
      <c r="A57" s="203" t="s">
        <v>369</v>
      </c>
      <c r="B57" s="203" t="s">
        <v>98</v>
      </c>
      <c r="C57" s="204">
        <f>C45+C51</f>
        <v>13998.896547999999</v>
      </c>
      <c r="D57" s="204">
        <f t="shared" ref="D57:S57" si="51">D45+D51</f>
        <v>10957.384947599998</v>
      </c>
      <c r="E57" s="204">
        <f t="shared" si="51"/>
        <v>29325.250090499998</v>
      </c>
      <c r="F57" s="204">
        <f>F45+F51</f>
        <v>25202.072657579996</v>
      </c>
      <c r="G57" s="204">
        <f t="shared" si="51"/>
        <v>24911.61599654</v>
      </c>
      <c r="H57" s="204">
        <f t="shared" si="51"/>
        <v>26301.59969164</v>
      </c>
      <c r="I57" s="204">
        <f t="shared" si="51"/>
        <v>30707.498392479993</v>
      </c>
      <c r="J57" s="204">
        <f t="shared" si="51"/>
        <v>30146.256591359997</v>
      </c>
      <c r="K57" s="204">
        <f t="shared" si="51"/>
        <v>20486.00676122</v>
      </c>
      <c r="L57" s="204">
        <f t="shared" si="51"/>
        <v>0</v>
      </c>
      <c r="M57" s="204">
        <f t="shared" si="51"/>
        <v>0</v>
      </c>
      <c r="N57" s="204">
        <f t="shared" si="51"/>
        <v>0</v>
      </c>
      <c r="O57" s="204">
        <f t="shared" si="51"/>
        <v>212036.58167691997</v>
      </c>
      <c r="P57" s="204">
        <f t="shared" si="51"/>
        <v>54281.531586099998</v>
      </c>
      <c r="Q57" s="204">
        <f t="shared" si="51"/>
        <v>76415.288345759996</v>
      </c>
      <c r="R57" s="204">
        <f t="shared" si="51"/>
        <v>81339.761745059979</v>
      </c>
      <c r="S57" s="204">
        <f t="shared" si="51"/>
        <v>0</v>
      </c>
      <c r="T57" s="168"/>
      <c r="U57" s="157"/>
    </row>
    <row r="58" spans="1:22">
      <c r="A58" s="68" t="s">
        <v>371</v>
      </c>
      <c r="B58" s="68" t="s">
        <v>98</v>
      </c>
      <c r="C58" s="78">
        <f t="shared" ref="C58:N59" si="52">C46+C49</f>
        <v>0</v>
      </c>
      <c r="D58" s="78">
        <f t="shared" si="52"/>
        <v>0</v>
      </c>
      <c r="E58" s="78">
        <f t="shared" si="52"/>
        <v>0</v>
      </c>
      <c r="F58" s="78">
        <f>F46+F49</f>
        <v>0</v>
      </c>
      <c r="G58" s="78">
        <f t="shared" si="52"/>
        <v>0</v>
      </c>
      <c r="H58" s="78">
        <f t="shared" si="52"/>
        <v>0</v>
      </c>
      <c r="I58" s="78">
        <f t="shared" si="52"/>
        <v>0</v>
      </c>
      <c r="J58" s="78">
        <f t="shared" si="52"/>
        <v>0</v>
      </c>
      <c r="K58" s="78">
        <f t="shared" si="52"/>
        <v>0</v>
      </c>
      <c r="L58" s="78">
        <f t="shared" si="52"/>
        <v>0</v>
      </c>
      <c r="M58" s="78">
        <f t="shared" si="52"/>
        <v>0</v>
      </c>
      <c r="N58" s="78">
        <f t="shared" si="52"/>
        <v>0</v>
      </c>
      <c r="O58" s="78">
        <f t="shared" ref="O58:S60" si="53">O49+O46</f>
        <v>0</v>
      </c>
      <c r="P58" s="78">
        <f t="shared" si="53"/>
        <v>0</v>
      </c>
      <c r="Q58" s="78">
        <f t="shared" si="53"/>
        <v>0</v>
      </c>
      <c r="R58" s="78">
        <f t="shared" si="53"/>
        <v>0</v>
      </c>
      <c r="S58" s="78">
        <f t="shared" si="53"/>
        <v>0</v>
      </c>
      <c r="T58" s="168"/>
    </row>
    <row r="59" spans="1:22">
      <c r="A59" s="68" t="s">
        <v>372</v>
      </c>
      <c r="B59" s="68" t="s">
        <v>98</v>
      </c>
      <c r="C59" s="78">
        <f>C47+C50</f>
        <v>0</v>
      </c>
      <c r="D59" s="78">
        <f t="shared" si="52"/>
        <v>0</v>
      </c>
      <c r="E59" s="78">
        <f t="shared" si="52"/>
        <v>0</v>
      </c>
      <c r="F59" s="78">
        <f t="shared" si="52"/>
        <v>0</v>
      </c>
      <c r="G59" s="78">
        <f t="shared" si="52"/>
        <v>0</v>
      </c>
      <c r="H59" s="78">
        <f t="shared" si="52"/>
        <v>0</v>
      </c>
      <c r="I59" s="78">
        <f t="shared" si="52"/>
        <v>0</v>
      </c>
      <c r="J59" s="78">
        <f t="shared" si="52"/>
        <v>0</v>
      </c>
      <c r="K59" s="78">
        <f t="shared" si="52"/>
        <v>0</v>
      </c>
      <c r="L59" s="78">
        <f t="shared" si="52"/>
        <v>0</v>
      </c>
      <c r="M59" s="78">
        <f t="shared" si="52"/>
        <v>0</v>
      </c>
      <c r="N59" s="78">
        <f t="shared" si="52"/>
        <v>0</v>
      </c>
      <c r="O59" s="78">
        <f t="shared" si="53"/>
        <v>0</v>
      </c>
      <c r="P59" s="78">
        <f t="shared" si="53"/>
        <v>0</v>
      </c>
      <c r="Q59" s="78">
        <f t="shared" si="53"/>
        <v>0</v>
      </c>
      <c r="R59" s="78">
        <f t="shared" si="53"/>
        <v>0</v>
      </c>
      <c r="S59" s="78">
        <f t="shared" si="53"/>
        <v>0</v>
      </c>
      <c r="T59" s="168"/>
    </row>
    <row r="60" spans="1:22">
      <c r="A60" s="124" t="s">
        <v>370</v>
      </c>
      <c r="B60" s="124" t="s">
        <v>98</v>
      </c>
      <c r="C60" s="156">
        <f>SUM(C58:C59)</f>
        <v>0</v>
      </c>
      <c r="D60" s="156">
        <f t="shared" ref="D60:N60" si="54">SUM(D58:D59)</f>
        <v>0</v>
      </c>
      <c r="E60" s="156">
        <f t="shared" si="54"/>
        <v>0</v>
      </c>
      <c r="F60" s="156">
        <f t="shared" si="54"/>
        <v>0</v>
      </c>
      <c r="G60" s="156">
        <f t="shared" si="54"/>
        <v>0</v>
      </c>
      <c r="H60" s="156">
        <f t="shared" si="54"/>
        <v>0</v>
      </c>
      <c r="I60" s="156">
        <f t="shared" si="54"/>
        <v>0</v>
      </c>
      <c r="J60" s="156">
        <f t="shared" si="54"/>
        <v>0</v>
      </c>
      <c r="K60" s="156">
        <f t="shared" si="54"/>
        <v>0</v>
      </c>
      <c r="L60" s="156">
        <f t="shared" si="54"/>
        <v>0</v>
      </c>
      <c r="M60" s="156">
        <f t="shared" si="54"/>
        <v>0</v>
      </c>
      <c r="N60" s="156">
        <f t="shared" si="54"/>
        <v>0</v>
      </c>
      <c r="O60" s="78">
        <f t="shared" si="53"/>
        <v>0</v>
      </c>
      <c r="P60" s="78">
        <f t="shared" si="53"/>
        <v>0</v>
      </c>
      <c r="Q60" s="78">
        <f t="shared" si="53"/>
        <v>0</v>
      </c>
      <c r="R60" s="78">
        <f t="shared" si="53"/>
        <v>0</v>
      </c>
      <c r="S60" s="78">
        <f t="shared" si="53"/>
        <v>0</v>
      </c>
      <c r="T60" s="168"/>
    </row>
    <row r="61" spans="1:22" s="157" customFormat="1" ht="12" customHeight="1">
      <c r="A61" s="146" t="s">
        <v>340</v>
      </c>
      <c r="B61" s="146" t="s">
        <v>120</v>
      </c>
      <c r="C61" s="133">
        <f>'CO2 SAY PHUN'!C55/'Production, Raw Mat'!C3</f>
        <v>1.4567114527669345</v>
      </c>
      <c r="D61" s="133">
        <f>'CO2 SAY PHUN'!D55/'Production, Raw Mat'!D3</f>
        <v>1.7364888126421716</v>
      </c>
      <c r="E61" s="133">
        <f>'CO2 SAY PHUN'!E55/'Production, Raw Mat'!E3</f>
        <v>1.6537130755664702</v>
      </c>
      <c r="F61" s="133">
        <f>'CO2 SAY PHUN'!F55/'Production, Raw Mat'!F3</f>
        <v>1.5955268191105254</v>
      </c>
      <c r="G61" s="133">
        <f>'CO2 SAY PHUN'!G55/'Production, Raw Mat'!G3</f>
        <v>1.5480938339876114</v>
      </c>
      <c r="H61" s="133">
        <f>'CO2 SAY PHUN'!H55/'Production, Raw Mat'!H3</f>
        <v>1.6029725933228094</v>
      </c>
      <c r="I61" s="133">
        <f>'CO2 SAY PHUN'!I55/'Production, Raw Mat'!I3</f>
        <v>1.663973100144494</v>
      </c>
      <c r="J61" s="133">
        <f>'CO2 SAY PHUN'!J55/'Production, Raw Mat'!J3</f>
        <v>1.8632228382225442</v>
      </c>
      <c r="K61" s="133">
        <f>'CO2 SAY PHUN'!K55/'Production, Raw Mat'!K3</f>
        <v>1.6879303984186991</v>
      </c>
      <c r="L61" s="133">
        <f>'CO2 SAY PHUN'!L55/'Production, Raw Mat'!L3</f>
        <v>0</v>
      </c>
      <c r="M61" s="133">
        <f>'CO2 SAY PHUN'!M55/'Production, Raw Mat'!M3</f>
        <v>0</v>
      </c>
      <c r="N61" s="133">
        <f>'CO2 SAY PHUN'!N55/'Production, Raw Mat'!N3</f>
        <v>0</v>
      </c>
      <c r="O61" s="133">
        <f>'CO2 SAY PHUN'!O55/'Production, Raw Mat'!O3</f>
        <v>1.2539996794708632</v>
      </c>
      <c r="P61" s="133">
        <f>'CO2 SAY PHUN'!P55/'Production, Raw Mat'!P3</f>
        <v>1.6129781931947096</v>
      </c>
      <c r="Q61" s="133">
        <f>'CO2 SAY PHUN'!Q55/'Production, Raw Mat'!Q3</f>
        <v>1.5822519848475778</v>
      </c>
      <c r="R61" s="133">
        <f>'CO2 SAY PHUN'!R55/'Production, Raw Mat'!R3</f>
        <v>1.7391173676819867</v>
      </c>
      <c r="S61" s="133">
        <f>'CO2 SAY PHUN'!S55/'Production, Raw Mat'!S3</f>
        <v>0</v>
      </c>
      <c r="T61" s="169"/>
    </row>
    <row r="62" spans="1:22" s="157" customFormat="1" ht="12" customHeight="1">
      <c r="A62" s="146" t="s">
        <v>341</v>
      </c>
      <c r="B62" s="146" t="s">
        <v>120</v>
      </c>
      <c r="C62" s="133" t="e">
        <f>'CO2 SAY PHUN'!C56/'Production, Raw Mat'!C4</f>
        <v>#DIV/0!</v>
      </c>
      <c r="D62" s="133" t="e">
        <f>'CO2 SAY PHUN'!D56/'Production, Raw Mat'!D4</f>
        <v>#DIV/0!</v>
      </c>
      <c r="E62" s="133" t="e">
        <f>'CO2 SAY PHUN'!E56/'Production, Raw Mat'!E4</f>
        <v>#DIV/0!</v>
      </c>
      <c r="F62" s="133" t="e">
        <f>'CO2 SAY PHUN'!F56/'Production, Raw Mat'!F4</f>
        <v>#DIV/0!</v>
      </c>
      <c r="G62" s="133" t="e">
        <f>'CO2 SAY PHUN'!G56/'Production, Raw Mat'!G4</f>
        <v>#DIV/0!</v>
      </c>
      <c r="H62" s="133" t="e">
        <f>'CO2 SAY PHUN'!H56/'Production, Raw Mat'!H4</f>
        <v>#DIV/0!</v>
      </c>
      <c r="I62" s="133" t="e">
        <f>'CO2 SAY PHUN'!I56/'Production, Raw Mat'!I4</f>
        <v>#DIV/0!</v>
      </c>
      <c r="J62" s="133" t="e">
        <f>'CO2 SAY PHUN'!J56/'Production, Raw Mat'!J4</f>
        <v>#DIV/0!</v>
      </c>
      <c r="K62" s="133" t="e">
        <f>'CO2 SAY PHUN'!K56/'Production, Raw Mat'!K4</f>
        <v>#DIV/0!</v>
      </c>
      <c r="L62" s="133" t="e">
        <f>'CO2 SAY PHUN'!L56/'Production, Raw Mat'!L4</f>
        <v>#DIV/0!</v>
      </c>
      <c r="M62" s="133" t="e">
        <f>'CO2 SAY PHUN'!M56/'Production, Raw Mat'!M4</f>
        <v>#DIV/0!</v>
      </c>
      <c r="N62" s="133">
        <f>'CO2 SAY PHUN'!N56/'Production, Raw Mat'!N4</f>
        <v>0</v>
      </c>
      <c r="O62" s="133">
        <f>'CO2 SAY PHUN'!O56/'Production, Raw Mat'!O4</f>
        <v>0</v>
      </c>
      <c r="P62" s="133" t="e">
        <f>'CO2 SAY PHUN'!P56/'Production, Raw Mat'!P4</f>
        <v>#DIV/0!</v>
      </c>
      <c r="Q62" s="133" t="e">
        <f>'CO2 SAY PHUN'!Q56/'Production, Raw Mat'!Q4</f>
        <v>#DIV/0!</v>
      </c>
      <c r="R62" s="133" t="e">
        <f>'CO2 SAY PHUN'!R56/'Production, Raw Mat'!R4</f>
        <v>#DIV/0!</v>
      </c>
      <c r="S62" s="133">
        <f>'CO2 SAY PHUN'!S56/'Production, Raw Mat'!S4</f>
        <v>0</v>
      </c>
      <c r="T62" s="169"/>
    </row>
    <row r="63" spans="1:22" s="145" customFormat="1" ht="12" customHeight="1">
      <c r="A63" s="203" t="s">
        <v>373</v>
      </c>
      <c r="B63" s="203" t="s">
        <v>120</v>
      </c>
      <c r="C63" s="205">
        <f>'CO2 SAY PHUN'!C57/'Production, Raw Mat'!C5</f>
        <v>1.4567114527669343</v>
      </c>
      <c r="D63" s="205">
        <f>'CO2 SAY PHUN'!D57/'Production, Raw Mat'!D5</f>
        <v>1.7364888126421711</v>
      </c>
      <c r="E63" s="205">
        <f>'CO2 SAY PHUN'!E57/'Production, Raw Mat'!E5</f>
        <v>1.6537130755664702</v>
      </c>
      <c r="F63" s="205">
        <f>'CO2 SAY PHUN'!F57/'Production, Raw Mat'!F5</f>
        <v>1.5955268191105252</v>
      </c>
      <c r="G63" s="205">
        <f>'CO2 SAY PHUN'!G57/'Production, Raw Mat'!G5</f>
        <v>1.5480938339876114</v>
      </c>
      <c r="H63" s="205">
        <f>'CO2 SAY PHUN'!H57/'Production, Raw Mat'!H5</f>
        <v>1.6029725933228094</v>
      </c>
      <c r="I63" s="205">
        <f>'CO2 SAY PHUN'!I57/'Production, Raw Mat'!I5</f>
        <v>1.663973100144494</v>
      </c>
      <c r="J63" s="205">
        <f>'CO2 SAY PHUN'!J57/'Production, Raw Mat'!J5</f>
        <v>1.8632228382225442</v>
      </c>
      <c r="K63" s="205">
        <f>'CO2 SAY PHUN'!K57/'Production, Raw Mat'!K5</f>
        <v>1.6879303984186991</v>
      </c>
      <c r="L63" s="205">
        <f>'CO2 SAY PHUN'!L57/'Production, Raw Mat'!L5</f>
        <v>0</v>
      </c>
      <c r="M63" s="205">
        <f>'CO2 SAY PHUN'!M57/'Production, Raw Mat'!M5</f>
        <v>0</v>
      </c>
      <c r="N63" s="205">
        <f>'CO2 SAY PHUN'!N57/'Production, Raw Mat'!N5</f>
        <v>0</v>
      </c>
      <c r="O63" s="205">
        <f>'CO2 SAY PHUN'!O57/'Production, Raw Mat'!O5</f>
        <v>1.2508655112896823</v>
      </c>
      <c r="P63" s="205">
        <f>'CO2 SAY PHUN'!P57/'Production, Raw Mat'!P5</f>
        <v>1.6129781931947096</v>
      </c>
      <c r="Q63" s="205">
        <f>'CO2 SAY PHUN'!Q57/'Production, Raw Mat'!Q5</f>
        <v>1.5822519848475778</v>
      </c>
      <c r="R63" s="205">
        <f>'CO2 SAY PHUN'!R57/'Production, Raw Mat'!R5</f>
        <v>1.7391173676819864</v>
      </c>
      <c r="S63" s="205">
        <f>'CO2 SAY PHUN'!S57/'Production, Raw Mat'!S5</f>
        <v>0</v>
      </c>
      <c r="T63" s="169"/>
      <c r="U63" s="157"/>
    </row>
    <row r="64" spans="1:22" s="157" customFormat="1" ht="12" customHeight="1">
      <c r="A64" s="146" t="s">
        <v>374</v>
      </c>
      <c r="B64" s="146" t="s">
        <v>120</v>
      </c>
      <c r="C64" s="133">
        <f>'CO2 SAY PHUN'!C58/'Production, Raw Mat'!C3</f>
        <v>0</v>
      </c>
      <c r="D64" s="133">
        <f>'CO2 SAY PHUN'!D58/'Production, Raw Mat'!D3</f>
        <v>0</v>
      </c>
      <c r="E64" s="133">
        <f>'CO2 SAY PHUN'!E58/'Production, Raw Mat'!E3</f>
        <v>0</v>
      </c>
      <c r="F64" s="133">
        <f>'CO2 SAY PHUN'!F58/'Production, Raw Mat'!F3</f>
        <v>0</v>
      </c>
      <c r="G64" s="133">
        <f>'CO2 SAY PHUN'!G58/'Production, Raw Mat'!G3</f>
        <v>0</v>
      </c>
      <c r="H64" s="133">
        <f>'CO2 SAY PHUN'!H58/'Production, Raw Mat'!H3</f>
        <v>0</v>
      </c>
      <c r="I64" s="133">
        <f>'CO2 SAY PHUN'!I58/'Production, Raw Mat'!I3</f>
        <v>0</v>
      </c>
      <c r="J64" s="133">
        <f>'CO2 SAY PHUN'!J58/'Production, Raw Mat'!J3</f>
        <v>0</v>
      </c>
      <c r="K64" s="133">
        <f>'CO2 SAY PHUN'!K58/'Production, Raw Mat'!K3</f>
        <v>0</v>
      </c>
      <c r="L64" s="133">
        <f>'CO2 SAY PHUN'!L58/'Production, Raw Mat'!L3</f>
        <v>0</v>
      </c>
      <c r="M64" s="133">
        <f>'CO2 SAY PHUN'!M58/'Production, Raw Mat'!M3</f>
        <v>0</v>
      </c>
      <c r="N64" s="133">
        <f>'CO2 SAY PHUN'!N58/'Production, Raw Mat'!N3</f>
        <v>0</v>
      </c>
      <c r="O64" s="133">
        <f>'CO2 SAY PHUN'!O58/'Production, Raw Mat'!O3</f>
        <v>0</v>
      </c>
      <c r="P64" s="133">
        <f>'CO2 SAY PHUN'!P58/'Production, Raw Mat'!P3</f>
        <v>0</v>
      </c>
      <c r="Q64" s="133">
        <f>'CO2 SAY PHUN'!Q58/'Production, Raw Mat'!Q3</f>
        <v>0</v>
      </c>
      <c r="R64" s="133">
        <f>'CO2 SAY PHUN'!R58/'Production, Raw Mat'!R3</f>
        <v>0</v>
      </c>
      <c r="S64" s="133">
        <f>'CO2 SAY PHUN'!S58/'Production, Raw Mat'!S3</f>
        <v>0</v>
      </c>
      <c r="T64" s="169"/>
    </row>
    <row r="65" spans="1:21" s="157" customFormat="1" ht="12" customHeight="1">
      <c r="A65" s="146" t="s">
        <v>375</v>
      </c>
      <c r="B65" s="146" t="s">
        <v>120</v>
      </c>
      <c r="C65" s="133" t="e">
        <f>'CO2 SAY PHUN'!C59/'Production, Raw Mat'!C4</f>
        <v>#DIV/0!</v>
      </c>
      <c r="D65" s="133" t="e">
        <f>'CO2 SAY PHUN'!D59/'Production, Raw Mat'!D4</f>
        <v>#DIV/0!</v>
      </c>
      <c r="E65" s="133" t="e">
        <f>'CO2 SAY PHUN'!E59/'Production, Raw Mat'!E4</f>
        <v>#DIV/0!</v>
      </c>
      <c r="F65" s="133" t="e">
        <f>'CO2 SAY PHUN'!F59/'Production, Raw Mat'!F4</f>
        <v>#DIV/0!</v>
      </c>
      <c r="G65" s="133" t="e">
        <f>'CO2 SAY PHUN'!G59/'Production, Raw Mat'!G4</f>
        <v>#DIV/0!</v>
      </c>
      <c r="H65" s="133" t="e">
        <f>'CO2 SAY PHUN'!H59/'Production, Raw Mat'!H4</f>
        <v>#DIV/0!</v>
      </c>
      <c r="I65" s="133" t="e">
        <f>'CO2 SAY PHUN'!I59/'Production, Raw Mat'!I4</f>
        <v>#DIV/0!</v>
      </c>
      <c r="J65" s="133" t="e">
        <f>'CO2 SAY PHUN'!J59/'Production, Raw Mat'!J4</f>
        <v>#DIV/0!</v>
      </c>
      <c r="K65" s="133" t="e">
        <f>'CO2 SAY PHUN'!K59/'Production, Raw Mat'!K4</f>
        <v>#DIV/0!</v>
      </c>
      <c r="L65" s="133" t="e">
        <f>'CO2 SAY PHUN'!L59/'Production, Raw Mat'!L4</f>
        <v>#DIV/0!</v>
      </c>
      <c r="M65" s="133" t="e">
        <f>'CO2 SAY PHUN'!M59/'Production, Raw Mat'!M4</f>
        <v>#DIV/0!</v>
      </c>
      <c r="N65" s="133">
        <f>'CO2 SAY PHUN'!N59/'Production, Raw Mat'!N4</f>
        <v>0</v>
      </c>
      <c r="O65" s="133">
        <f>'CO2 SAY PHUN'!O59/'Production, Raw Mat'!O4</f>
        <v>0</v>
      </c>
      <c r="P65" s="133" t="e">
        <f>'CO2 SAY PHUN'!P59/'Production, Raw Mat'!P4</f>
        <v>#DIV/0!</v>
      </c>
      <c r="Q65" s="133" t="e">
        <f>'CO2 SAY PHUN'!Q59/'Production, Raw Mat'!Q4</f>
        <v>#DIV/0!</v>
      </c>
      <c r="R65" s="133" t="e">
        <f>'CO2 SAY PHUN'!R59/'Production, Raw Mat'!R4</f>
        <v>#DIV/0!</v>
      </c>
      <c r="S65" s="133">
        <f>'CO2 SAY PHUN'!S59/'Production, Raw Mat'!S4</f>
        <v>0</v>
      </c>
      <c r="T65" s="169"/>
    </row>
    <row r="66" spans="1:21" s="145" customFormat="1" ht="12" customHeight="1">
      <c r="A66" s="124" t="s">
        <v>376</v>
      </c>
      <c r="B66" s="124" t="s">
        <v>120</v>
      </c>
      <c r="C66" s="129">
        <f>'CO2 SAY PHUN'!C60/'Production, Raw Mat'!C5</f>
        <v>0</v>
      </c>
      <c r="D66" s="129">
        <f>'CO2 SAY PHUN'!D60/'Production, Raw Mat'!D5</f>
        <v>0</v>
      </c>
      <c r="E66" s="129">
        <f>'CO2 SAY PHUN'!E60/'Production, Raw Mat'!E5</f>
        <v>0</v>
      </c>
      <c r="F66" s="129">
        <f>'CO2 SAY PHUN'!F60/'Production, Raw Mat'!F5</f>
        <v>0</v>
      </c>
      <c r="G66" s="129">
        <f>'CO2 SAY PHUN'!G60/'Production, Raw Mat'!G5</f>
        <v>0</v>
      </c>
      <c r="H66" s="129">
        <f>'CO2 SAY PHUN'!H60/'Production, Raw Mat'!H5</f>
        <v>0</v>
      </c>
      <c r="I66" s="129">
        <f>'CO2 SAY PHUN'!I60/'Production, Raw Mat'!I5</f>
        <v>0</v>
      </c>
      <c r="J66" s="129">
        <f>'CO2 SAY PHUN'!J60/'Production, Raw Mat'!J5</f>
        <v>0</v>
      </c>
      <c r="K66" s="129">
        <f>'CO2 SAY PHUN'!K60/'Production, Raw Mat'!K5</f>
        <v>0</v>
      </c>
      <c r="L66" s="129">
        <f>'CO2 SAY PHUN'!L60/'Production, Raw Mat'!L5</f>
        <v>0</v>
      </c>
      <c r="M66" s="129">
        <f>'CO2 SAY PHUN'!M60/'Production, Raw Mat'!M5</f>
        <v>0</v>
      </c>
      <c r="N66" s="129">
        <f>'CO2 SAY PHUN'!N60/'Production, Raw Mat'!N5</f>
        <v>0</v>
      </c>
      <c r="O66" s="129">
        <f>'CO2 SAY PHUN'!O60/'Production, Raw Mat'!O5</f>
        <v>0</v>
      </c>
      <c r="P66" s="129">
        <f>'CO2 SAY PHUN'!P60/'Production, Raw Mat'!P5</f>
        <v>0</v>
      </c>
      <c r="Q66" s="129">
        <f>'CO2 SAY PHUN'!Q60/'Production, Raw Mat'!Q5</f>
        <v>0</v>
      </c>
      <c r="R66" s="129">
        <f>'CO2 SAY PHUN'!R60/'Production, Raw Mat'!R5</f>
        <v>0</v>
      </c>
      <c r="S66" s="129">
        <f>'CO2 SAY PHUN'!S60/'Production, Raw Mat'!S5</f>
        <v>0</v>
      </c>
      <c r="T66" s="169"/>
      <c r="U66" s="157"/>
    </row>
    <row r="67" spans="1:21">
      <c r="A67" s="125"/>
      <c r="B67" s="125"/>
      <c r="C67" s="125">
        <f>C31+C69</f>
        <v>0</v>
      </c>
      <c r="D67" s="125">
        <f t="shared" ref="D67" si="55">D31+D69</f>
        <v>0</v>
      </c>
      <c r="E67" s="125">
        <f>E31+E69</f>
        <v>0</v>
      </c>
      <c r="F67" s="125"/>
      <c r="G67" s="125"/>
      <c r="H67" s="125"/>
      <c r="I67" s="125"/>
      <c r="J67" s="125"/>
      <c r="K67" s="125"/>
      <c r="L67" s="125"/>
      <c r="M67" s="125"/>
      <c r="N67" s="125"/>
      <c r="O67" s="125"/>
      <c r="P67" s="125"/>
      <c r="Q67" s="125"/>
      <c r="R67" s="125"/>
      <c r="S67" s="125"/>
      <c r="T67" s="168"/>
      <c r="U67" s="168"/>
    </row>
    <row r="68" spans="1:21" s="142" customFormat="1">
      <c r="A68" s="126" t="s">
        <v>179</v>
      </c>
      <c r="B68" s="126" t="s">
        <v>73</v>
      </c>
      <c r="C68" s="126" t="s">
        <v>74</v>
      </c>
      <c r="D68" s="126" t="s">
        <v>75</v>
      </c>
      <c r="E68" s="126" t="s">
        <v>76</v>
      </c>
      <c r="F68" s="126" t="s">
        <v>77</v>
      </c>
      <c r="G68" s="126" t="s">
        <v>78</v>
      </c>
      <c r="H68" s="126" t="s">
        <v>79</v>
      </c>
      <c r="I68" s="126" t="s">
        <v>80</v>
      </c>
      <c r="J68" s="126" t="s">
        <v>81</v>
      </c>
      <c r="K68" s="126" t="s">
        <v>82</v>
      </c>
      <c r="L68" s="126" t="s">
        <v>83</v>
      </c>
      <c r="M68" s="126" t="s">
        <v>84</v>
      </c>
      <c r="N68" s="126" t="s">
        <v>85</v>
      </c>
      <c r="O68" s="117" t="s">
        <v>86</v>
      </c>
      <c r="P68" s="117" t="s">
        <v>87</v>
      </c>
      <c r="Q68" s="117" t="s">
        <v>88</v>
      </c>
      <c r="R68" s="117" t="s">
        <v>89</v>
      </c>
      <c r="S68" s="117" t="s">
        <v>90</v>
      </c>
      <c r="T68" s="170"/>
      <c r="U68" s="157"/>
    </row>
    <row r="69" spans="1:21">
      <c r="A69" s="80" t="s">
        <v>277</v>
      </c>
      <c r="B69" s="80" t="s">
        <v>103</v>
      </c>
      <c r="C69" s="121"/>
      <c r="D69" s="80"/>
      <c r="E69" s="80"/>
      <c r="F69" s="80"/>
      <c r="G69" s="80"/>
      <c r="H69" s="80"/>
      <c r="I69" s="80"/>
      <c r="J69" s="80"/>
      <c r="K69" s="80"/>
      <c r="L69" s="121"/>
      <c r="M69" s="80"/>
      <c r="N69" s="80"/>
      <c r="O69" s="68">
        <f t="shared" ref="O69:O72" si="56">SUM(C69:N69)</f>
        <v>0</v>
      </c>
      <c r="P69" s="68">
        <f t="shared" ref="P69:P72" si="57">SUM(C69:E69)</f>
        <v>0</v>
      </c>
      <c r="Q69" s="68">
        <f t="shared" ref="Q69:Q72" si="58">SUM(F69:H69)</f>
        <v>0</v>
      </c>
      <c r="R69" s="68">
        <f t="shared" ref="R69:R72" si="59">SUM(I69:K69)</f>
        <v>0</v>
      </c>
      <c r="S69" s="68">
        <f t="shared" ref="S69:S72" si="60">SUM(L69:N69)</f>
        <v>0</v>
      </c>
      <c r="T69" s="168"/>
      <c r="U69" s="168"/>
    </row>
    <row r="70" spans="1:21" hidden="1">
      <c r="A70" s="80" t="s">
        <v>257</v>
      </c>
      <c r="B70" s="80" t="s">
        <v>102</v>
      </c>
      <c r="C70" s="121"/>
      <c r="D70" s="80"/>
      <c r="E70" s="80"/>
      <c r="F70" s="80"/>
      <c r="G70" s="80"/>
      <c r="H70" s="80"/>
      <c r="I70" s="80"/>
      <c r="J70" s="80"/>
      <c r="K70" s="80"/>
      <c r="L70" s="80"/>
      <c r="M70" s="80"/>
      <c r="N70" s="80"/>
      <c r="O70" s="68">
        <f t="shared" si="56"/>
        <v>0</v>
      </c>
      <c r="P70" s="68">
        <f t="shared" si="57"/>
        <v>0</v>
      </c>
      <c r="Q70" s="68">
        <f t="shared" si="58"/>
        <v>0</v>
      </c>
      <c r="R70" s="68">
        <f t="shared" si="59"/>
        <v>0</v>
      </c>
      <c r="S70" s="68">
        <f t="shared" si="60"/>
        <v>0</v>
      </c>
      <c r="T70" s="168"/>
      <c r="U70" s="168"/>
    </row>
    <row r="71" spans="1:21">
      <c r="A71" s="80" t="s">
        <v>278</v>
      </c>
      <c r="B71" s="80" t="s">
        <v>102</v>
      </c>
      <c r="C71" s="121"/>
      <c r="D71" s="80"/>
      <c r="E71" s="80"/>
      <c r="F71" s="80"/>
      <c r="G71" s="80"/>
      <c r="H71" s="80"/>
      <c r="I71" s="80"/>
      <c r="J71" s="80"/>
      <c r="K71" s="80"/>
      <c r="L71" s="80"/>
      <c r="M71" s="80"/>
      <c r="N71" s="80"/>
      <c r="O71" s="68">
        <f t="shared" si="56"/>
        <v>0</v>
      </c>
      <c r="P71" s="68">
        <f t="shared" si="57"/>
        <v>0</v>
      </c>
      <c r="Q71" s="68">
        <f t="shared" si="58"/>
        <v>0</v>
      </c>
      <c r="R71" s="68">
        <f t="shared" si="59"/>
        <v>0</v>
      </c>
      <c r="S71" s="68">
        <f t="shared" si="60"/>
        <v>0</v>
      </c>
      <c r="T71" s="168"/>
      <c r="U71" s="168"/>
    </row>
    <row r="72" spans="1:21" ht="14.25">
      <c r="A72" s="127" t="s">
        <v>258</v>
      </c>
      <c r="B72" s="127" t="s">
        <v>91</v>
      </c>
      <c r="C72" s="140"/>
      <c r="D72" s="127"/>
      <c r="E72" s="127"/>
      <c r="F72" s="128"/>
      <c r="G72" s="127"/>
      <c r="H72" s="127"/>
      <c r="I72" s="127"/>
      <c r="J72" s="127"/>
      <c r="K72" s="127"/>
      <c r="L72" s="127">
        <f>'Production, Raw Mat'!L8</f>
        <v>1624.155</v>
      </c>
      <c r="M72" s="127">
        <f>'Production, Raw Mat'!M8</f>
        <v>1624.35</v>
      </c>
      <c r="N72" s="127">
        <f>'Production, Raw Mat'!N8</f>
        <v>1872.75</v>
      </c>
      <c r="O72" s="68">
        <f t="shared" si="56"/>
        <v>5121.2550000000001</v>
      </c>
      <c r="P72" s="68">
        <f t="shared" si="57"/>
        <v>0</v>
      </c>
      <c r="Q72" s="68">
        <f t="shared" si="58"/>
        <v>0</v>
      </c>
      <c r="R72" s="68">
        <f t="shared" si="59"/>
        <v>0</v>
      </c>
      <c r="S72" s="68">
        <f t="shared" si="60"/>
        <v>5121.2550000000001</v>
      </c>
      <c r="T72" s="168"/>
      <c r="U72" s="168"/>
    </row>
    <row r="73" spans="1:21" s="143" customFormat="1" ht="14.25" hidden="1">
      <c r="A73" s="128" t="s">
        <v>194</v>
      </c>
      <c r="B73" s="128" t="s">
        <v>182</v>
      </c>
      <c r="C73" s="120"/>
      <c r="D73" s="128"/>
      <c r="E73" s="128"/>
      <c r="F73" s="128"/>
      <c r="G73" s="128"/>
      <c r="H73" s="128"/>
      <c r="I73" s="128"/>
      <c r="J73" s="128"/>
      <c r="K73" s="128"/>
      <c r="L73" s="128"/>
      <c r="M73" s="128"/>
      <c r="N73" s="128"/>
      <c r="O73" s="122"/>
      <c r="P73" s="122"/>
      <c r="Q73" s="122"/>
      <c r="R73" s="122"/>
      <c r="S73" s="122"/>
      <c r="T73" s="176"/>
      <c r="U73" s="177"/>
    </row>
    <row r="74" spans="1:21" s="143" customFormat="1" ht="36" hidden="1">
      <c r="A74" s="147" t="s">
        <v>325</v>
      </c>
      <c r="B74" s="128" t="s">
        <v>178</v>
      </c>
      <c r="C74" s="120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2"/>
      <c r="P74" s="122"/>
      <c r="Q74" s="122"/>
      <c r="R74" s="122"/>
      <c r="S74" s="122"/>
      <c r="T74" s="176"/>
      <c r="U74" s="177"/>
    </row>
    <row r="75" spans="1:21" s="143" customFormat="1" hidden="1">
      <c r="A75" s="128" t="s">
        <v>195</v>
      </c>
      <c r="B75" s="128" t="s">
        <v>178</v>
      </c>
      <c r="C75" s="120"/>
      <c r="D75" s="128"/>
      <c r="E75" s="128"/>
      <c r="F75" s="128"/>
      <c r="G75" s="128"/>
      <c r="H75" s="128"/>
      <c r="I75" s="128"/>
      <c r="J75" s="128"/>
      <c r="K75" s="128"/>
      <c r="L75" s="128"/>
      <c r="M75" s="128"/>
      <c r="N75" s="128"/>
      <c r="O75" s="122"/>
      <c r="P75" s="122"/>
      <c r="Q75" s="122"/>
      <c r="R75" s="122"/>
      <c r="S75" s="122"/>
      <c r="T75" s="176"/>
      <c r="U75" s="177"/>
    </row>
    <row r="76" spans="1:21" ht="13.5" hidden="1">
      <c r="A76" s="127" t="s">
        <v>196</v>
      </c>
      <c r="B76" s="127" t="s">
        <v>181</v>
      </c>
      <c r="C76" s="68">
        <f>((C73*31)*((C74-C75)/1000)*0.25*0.8)</f>
        <v>0</v>
      </c>
      <c r="D76" s="68">
        <f>((D73*28)*((D74-D75)/1000)*0.25*0.8)</f>
        <v>0</v>
      </c>
      <c r="E76" s="68">
        <f>((E73*31)*((E74-E75)/1000)*0.25*0.8)</f>
        <v>0</v>
      </c>
      <c r="F76" s="68">
        <f>((F73*30)*((F74-F75)/1000)*0.25*0.8)</f>
        <v>0</v>
      </c>
      <c r="G76" s="68">
        <f t="shared" ref="G76:N76" si="61">((G73*31)*((G74-G75)/1000)*0.25*0.8)</f>
        <v>0</v>
      </c>
      <c r="H76" s="68">
        <f>((H73*30)*((H74-H75)/1000)*0.25*0.8)</f>
        <v>0</v>
      </c>
      <c r="I76" s="68">
        <f t="shared" si="61"/>
        <v>0</v>
      </c>
      <c r="J76" s="68">
        <f>((J73*31)*((J74-J75)/1000)*0.25*0.8)</f>
        <v>0</v>
      </c>
      <c r="K76" s="68">
        <f>((K73*30)*((K74-K75)/1000)*0.25*0.8)</f>
        <v>0</v>
      </c>
      <c r="L76" s="68">
        <f t="shared" si="61"/>
        <v>0</v>
      </c>
      <c r="M76" s="68">
        <f>((M73*30)*((M74-M75)/1000)*0.25*0.8)</f>
        <v>0</v>
      </c>
      <c r="N76" s="68">
        <f t="shared" si="61"/>
        <v>0</v>
      </c>
      <c r="O76" s="123"/>
      <c r="P76" s="123"/>
      <c r="Q76" s="123"/>
      <c r="R76" s="123"/>
      <c r="S76" s="123"/>
      <c r="T76" s="176"/>
      <c r="U76" s="168"/>
    </row>
    <row r="77" spans="1:21">
      <c r="A77" s="159" t="s">
        <v>379</v>
      </c>
      <c r="B77" s="159" t="s">
        <v>342</v>
      </c>
      <c r="C77" s="131">
        <f t="shared" ref="C77:N77" si="62">IF(C23=0,0,((C3*C18*(4186/1000000)*$F$100)+(C4*C19*(4186/1000000)*$F$100)+(C5*C20*(4186/1000000)*$F$100)+(C38*$F$112*1000))/(C23))</f>
        <v>0</v>
      </c>
      <c r="D77" s="131">
        <f t="shared" si="62"/>
        <v>0</v>
      </c>
      <c r="E77" s="131">
        <f t="shared" si="62"/>
        <v>0</v>
      </c>
      <c r="F77" s="131">
        <f t="shared" si="62"/>
        <v>0</v>
      </c>
      <c r="G77" s="131">
        <f t="shared" si="62"/>
        <v>0</v>
      </c>
      <c r="H77" s="131">
        <f t="shared" si="62"/>
        <v>0</v>
      </c>
      <c r="I77" s="131">
        <f t="shared" si="62"/>
        <v>0</v>
      </c>
      <c r="J77" s="131">
        <f t="shared" si="62"/>
        <v>0</v>
      </c>
      <c r="K77" s="131">
        <f t="shared" si="62"/>
        <v>0</v>
      </c>
      <c r="L77" s="131">
        <f t="shared" si="62"/>
        <v>0</v>
      </c>
      <c r="M77" s="131">
        <f t="shared" si="62"/>
        <v>0</v>
      </c>
      <c r="N77" s="131">
        <f t="shared" si="62"/>
        <v>0</v>
      </c>
      <c r="O77" s="131" t="str">
        <f>IF(O23=0,"0",(SUMPRODUCT(C23:N23,C77:N77)/O23))</f>
        <v>0</v>
      </c>
      <c r="P77" s="131" t="str">
        <f>IF(P23=0,"0",(SUMPRODUCT(C23:E23,C77:E77)/P23))</f>
        <v>0</v>
      </c>
      <c r="Q77" s="131" t="str">
        <f>IF(Q23=0,"0",(SUMPRODUCT(F23:H23,F77:H77)/Q23))</f>
        <v>0</v>
      </c>
      <c r="R77" s="131" t="str">
        <f>IF(R23=0,"0",(SUMPRODUCT(I23:K23,I77:K77)/R23))</f>
        <v>0</v>
      </c>
      <c r="S77" s="131" t="str">
        <f>IF(S23=0,"0",(SUMPRODUCT(L23:N23,L77:N77)/S23))</f>
        <v>0</v>
      </c>
      <c r="T77" s="169"/>
      <c r="U77" s="168"/>
    </row>
    <row r="78" spans="1:21">
      <c r="A78" s="159" t="s">
        <v>380</v>
      </c>
      <c r="B78" s="159" t="s">
        <v>342</v>
      </c>
      <c r="C78" s="134">
        <f t="shared" ref="C78:N78" si="63">IF(C24=0,0,((C7*C18*(4186/1000000)*$F$100)+(C8*C19*(4186/1000000)*$F$100)+(C9*C20*(4186/1000000)*$F$100)+(C39*$F$112*1000))/(C24))</f>
        <v>0</v>
      </c>
      <c r="D78" s="134">
        <f t="shared" si="63"/>
        <v>0</v>
      </c>
      <c r="E78" s="134">
        <f t="shared" si="63"/>
        <v>0</v>
      </c>
      <c r="F78" s="134">
        <f t="shared" si="63"/>
        <v>0</v>
      </c>
      <c r="G78" s="134">
        <f t="shared" si="63"/>
        <v>0</v>
      </c>
      <c r="H78" s="134">
        <f t="shared" si="63"/>
        <v>0</v>
      </c>
      <c r="I78" s="134">
        <f t="shared" si="63"/>
        <v>0</v>
      </c>
      <c r="J78" s="134">
        <f t="shared" si="63"/>
        <v>0</v>
      </c>
      <c r="K78" s="134">
        <f t="shared" si="63"/>
        <v>0</v>
      </c>
      <c r="L78" s="134">
        <f t="shared" si="63"/>
        <v>0</v>
      </c>
      <c r="M78" s="134">
        <f t="shared" si="63"/>
        <v>0</v>
      </c>
      <c r="N78" s="134">
        <f t="shared" si="63"/>
        <v>0</v>
      </c>
      <c r="O78" s="131" t="str">
        <f>IF(O24=0,"0",(SUMPRODUCT(C24:N24,C78:N78)/O24))</f>
        <v>0</v>
      </c>
      <c r="P78" s="131" t="str">
        <f>IF(P24=0,"0",(SUMPRODUCT(C24:E24,C78:E78)/P24))</f>
        <v>0</v>
      </c>
      <c r="Q78" s="131" t="str">
        <f>IF(Q24=0,"0",(SUMPRODUCT(F24:H24,F78:H78)/Q24))</f>
        <v>0</v>
      </c>
      <c r="R78" s="131" t="str">
        <f>IF(R24=0,"0",(SUMPRODUCT(I24:K24,I78:K78)/R24))</f>
        <v>0</v>
      </c>
      <c r="S78" s="131" t="str">
        <f>IF(S24=0,"0",(SUMPRODUCT(L24:N24,L78:N78)/S24))</f>
        <v>0</v>
      </c>
      <c r="T78" s="169"/>
      <c r="U78" s="168"/>
    </row>
    <row r="79" spans="1:21">
      <c r="A79" s="156" t="s">
        <v>381</v>
      </c>
      <c r="B79" s="159" t="s">
        <v>342</v>
      </c>
      <c r="C79" s="131">
        <f t="shared" ref="C79:N79" si="64">IF(C25=0,0,((C11*C18*(4186/1000000)*$F$100)+(C12*C19*(4186/1000000)*$F$100)+(C13*C20*(4186/1000000)*$F$100)+(C40*$F$112*1000))/(C25))</f>
        <v>0</v>
      </c>
      <c r="D79" s="131">
        <f t="shared" si="64"/>
        <v>0</v>
      </c>
      <c r="E79" s="131">
        <f t="shared" si="64"/>
        <v>0</v>
      </c>
      <c r="F79" s="131">
        <f t="shared" si="64"/>
        <v>0</v>
      </c>
      <c r="G79" s="131">
        <f t="shared" si="64"/>
        <v>0</v>
      </c>
      <c r="H79" s="131">
        <f t="shared" si="64"/>
        <v>0</v>
      </c>
      <c r="I79" s="131">
        <f t="shared" si="64"/>
        <v>0</v>
      </c>
      <c r="J79" s="131">
        <f t="shared" si="64"/>
        <v>0</v>
      </c>
      <c r="K79" s="131">
        <f t="shared" si="64"/>
        <v>0</v>
      </c>
      <c r="L79" s="131">
        <f t="shared" si="64"/>
        <v>0</v>
      </c>
      <c r="M79" s="131">
        <f t="shared" si="64"/>
        <v>0</v>
      </c>
      <c r="N79" s="131">
        <f t="shared" si="64"/>
        <v>0</v>
      </c>
      <c r="O79" s="131" t="str">
        <f>IF(O25=0,"0",(SUMPRODUCT(C25:N25,C79:N79)/O25))</f>
        <v>0</v>
      </c>
      <c r="P79" s="131" t="str">
        <f>IF(P25=0,"0",(SUMPRODUCT(C25:E25,C79:E79)/P25))</f>
        <v>0</v>
      </c>
      <c r="Q79" s="131" t="str">
        <f>IF(Q25=0,"0",(SUMPRODUCT(F25:H25,F79:H79)/Q25))</f>
        <v>0</v>
      </c>
      <c r="R79" s="131" t="str">
        <f>IF(R25=0,"0",(SUMPRODUCT(I25:K25,I79:K79)/R25))</f>
        <v>0</v>
      </c>
      <c r="S79" s="131" t="str">
        <f>IF(S25=0,"0",(SUMPRODUCT(L25:N25,L79:N79)/S25))</f>
        <v>0</v>
      </c>
      <c r="T79" s="169"/>
      <c r="U79" s="168"/>
    </row>
    <row r="80" spans="1:21" ht="13.5">
      <c r="A80" s="146" t="s">
        <v>383</v>
      </c>
      <c r="B80" s="146" t="s">
        <v>306</v>
      </c>
      <c r="C80" s="68">
        <f>((C3*C18*(4186/1000000)*$F$100)+(C4*C19*(4186/1000000)*$F$100)+(C5*C20*(4186/1000000)*$F$100)+(C6*C21*(4186/1000000)*$F$100)+(C26*$F$101)+(C27*$F$102)+(C28*$F$103)+(C29*$F$104)+(C30*$F$106)+(C31*$F$107)+(C32*$F$109)+(C69*$F$108)+(C70*$F$115)+(C71*$F$104)+(C72*$F$116)+(C76*$F$117))/1000</f>
        <v>1373.0720625439999</v>
      </c>
      <c r="D80" s="68">
        <f t="shared" ref="D80:S80" si="65">((D3*D18*(4186/1000000)*$F$100)+(D4*D19*(4186/1000000)*$F$100)+(D5*D20*(4186/1000000)*$F$100)+(D6*D21*(4186/1000000)*$F$100)+(D26*$F$101)+(D27*$F$102)+(D28*$F$103)+(D29*$F$104)+(D30*$F$106)+(D31*$F$107)+(D32*$F$109)+(D69*$F$108)+(D70*$F$115)+(D71*$F$104)+(D72*$F$116)+(D76*$F$117))/1000</f>
        <v>1054.2192735874798</v>
      </c>
      <c r="E80" s="68">
        <f t="shared" si="65"/>
        <v>2846.7902850523496</v>
      </c>
      <c r="F80" s="68">
        <f t="shared" si="65"/>
        <v>2437.9403023297136</v>
      </c>
      <c r="G80" s="68">
        <f t="shared" si="65"/>
        <v>2414.9236926270814</v>
      </c>
      <c r="H80" s="68">
        <f t="shared" si="65"/>
        <v>2310.1818698078114</v>
      </c>
      <c r="I80" s="68">
        <f t="shared" si="65"/>
        <v>2591.8836545987838</v>
      </c>
      <c r="J80" s="68">
        <f t="shared" si="65"/>
        <v>2246.9446361696878</v>
      </c>
      <c r="K80" s="68">
        <f t="shared" si="65"/>
        <v>1432.1935488029258</v>
      </c>
      <c r="L80" s="68">
        <f t="shared" si="65"/>
        <v>714.15719504999993</v>
      </c>
      <c r="M80" s="68">
        <f t="shared" si="65"/>
        <v>714.24293849999992</v>
      </c>
      <c r="N80" s="68">
        <f t="shared" si="65"/>
        <v>823.46690249999995</v>
      </c>
      <c r="O80" s="68">
        <f t="shared" si="65"/>
        <v>2251.8670360499996</v>
      </c>
      <c r="P80" s="68">
        <f t="shared" si="65"/>
        <v>5274.0816211838292</v>
      </c>
      <c r="Q80" s="68">
        <f t="shared" si="65"/>
        <v>7163.0458647646074</v>
      </c>
      <c r="R80" s="68">
        <f t="shared" si="65"/>
        <v>6271.0218395713964</v>
      </c>
      <c r="S80" s="68">
        <f t="shared" si="65"/>
        <v>2251.8670360499996</v>
      </c>
      <c r="T80" s="168"/>
    </row>
    <row r="81" spans="1:21" ht="13.5">
      <c r="A81" s="146" t="s">
        <v>384</v>
      </c>
      <c r="B81" s="146" t="s">
        <v>306</v>
      </c>
      <c r="C81" s="68">
        <f>(((C7*C18*(4186/1000000)*$F$100))+((C8*C19*(4186/1000000)*$F$100))+((C9*C20*(4186/1000000))+((C10*C21*(4186/1000000)*$F$100)))/1000)</f>
        <v>0</v>
      </c>
      <c r="D81" s="68">
        <f t="shared" ref="D81:S81" si="66">(((D7*D18*(4186/1000000)*$F$100)+(D8*D19*(4186/1000000)*$F$100)+(D9*D20*(4186/1000000)+(D10*D21*(4186/1000000)*$F$100)))/1000)</f>
        <v>0</v>
      </c>
      <c r="E81" s="68">
        <f t="shared" si="66"/>
        <v>0</v>
      </c>
      <c r="F81" s="68">
        <f t="shared" si="66"/>
        <v>0</v>
      </c>
      <c r="G81" s="68">
        <f t="shared" si="66"/>
        <v>0</v>
      </c>
      <c r="H81" s="68">
        <f t="shared" si="66"/>
        <v>0</v>
      </c>
      <c r="I81" s="68">
        <f t="shared" si="66"/>
        <v>0</v>
      </c>
      <c r="J81" s="68">
        <f t="shared" si="66"/>
        <v>0</v>
      </c>
      <c r="K81" s="68">
        <f t="shared" si="66"/>
        <v>0</v>
      </c>
      <c r="L81" s="68">
        <f t="shared" si="66"/>
        <v>0</v>
      </c>
      <c r="M81" s="68">
        <f t="shared" si="66"/>
        <v>0</v>
      </c>
      <c r="N81" s="68">
        <f t="shared" si="66"/>
        <v>0</v>
      </c>
      <c r="O81" s="68">
        <f>(((O7*O18*(4186/1000000)*$F$100)+(O8*O19*(4186/1000000)*$F$100)+(O9*O20*(4186/1000000)+(O10*O21*(4186/1000000)*$F$100)))/1000)</f>
        <v>0</v>
      </c>
      <c r="P81" s="68">
        <f t="shared" si="66"/>
        <v>0</v>
      </c>
      <c r="Q81" s="68">
        <f t="shared" si="66"/>
        <v>0</v>
      </c>
      <c r="R81" s="68">
        <f t="shared" si="66"/>
        <v>0</v>
      </c>
      <c r="S81" s="68">
        <f t="shared" si="66"/>
        <v>0</v>
      </c>
      <c r="T81" s="168"/>
    </row>
    <row r="82" spans="1:21" s="145" customFormat="1" ht="13.5">
      <c r="A82" s="202" t="s">
        <v>382</v>
      </c>
      <c r="B82" s="203" t="s">
        <v>377</v>
      </c>
      <c r="C82" s="203">
        <f>SUM(C80:C81)</f>
        <v>1373.0720625439999</v>
      </c>
      <c r="D82" s="203">
        <f t="shared" ref="D82:N82" si="67">SUM(D80:D81)</f>
        <v>1054.2192735874798</v>
      </c>
      <c r="E82" s="203">
        <f t="shared" si="67"/>
        <v>2846.7902850523496</v>
      </c>
      <c r="F82" s="203">
        <f t="shared" si="67"/>
        <v>2437.9403023297136</v>
      </c>
      <c r="G82" s="203">
        <f t="shared" si="67"/>
        <v>2414.9236926270814</v>
      </c>
      <c r="H82" s="203">
        <f t="shared" si="67"/>
        <v>2310.1818698078114</v>
      </c>
      <c r="I82" s="203">
        <f t="shared" si="67"/>
        <v>2591.8836545987838</v>
      </c>
      <c r="J82" s="203">
        <f>SUM(J80:J81)</f>
        <v>2246.9446361696878</v>
      </c>
      <c r="K82" s="203">
        <f t="shared" si="67"/>
        <v>1432.1935488029258</v>
      </c>
      <c r="L82" s="203">
        <f t="shared" si="67"/>
        <v>714.15719504999993</v>
      </c>
      <c r="M82" s="203">
        <f t="shared" si="67"/>
        <v>714.24293849999992</v>
      </c>
      <c r="N82" s="203">
        <f t="shared" si="67"/>
        <v>823.46690249999995</v>
      </c>
      <c r="O82" s="203">
        <f t="shared" ref="O82:O85" si="68">SUM(C82:N82)</f>
        <v>20960.016361569833</v>
      </c>
      <c r="P82" s="203">
        <f t="shared" ref="P82:P84" si="69">SUM(C82:E82)</f>
        <v>5274.0816211838292</v>
      </c>
      <c r="Q82" s="203">
        <f t="shared" ref="Q82:Q85" si="70">SUM(F82:H82)</f>
        <v>7163.0458647646064</v>
      </c>
      <c r="R82" s="203">
        <f t="shared" ref="R82:R85" si="71">SUM(I82:K82)</f>
        <v>6271.0218395713973</v>
      </c>
      <c r="S82" s="203">
        <f t="shared" ref="S82:S85" si="72">SUM(L82:N82)</f>
        <v>2251.8670360499996</v>
      </c>
      <c r="T82" s="168"/>
      <c r="U82" s="157"/>
    </row>
    <row r="83" spans="1:21" ht="13.5">
      <c r="A83" s="146" t="s">
        <v>385</v>
      </c>
      <c r="B83" s="146" t="s">
        <v>306</v>
      </c>
      <c r="C83" s="68">
        <f>((C23*C77)+(C26*$F$101)+(C27*$F$102)+(C28*$F$103)+(C29*$F$104)+(C30*$F$106)+(C31*$F$107)+(C32*$F$109)+(C69*$F$108)+(C70*$F$115)+(C71*$F$104)+(C72*$F$116)+(C76*$F$117))/1000</f>
        <v>0</v>
      </c>
      <c r="D83" s="68">
        <f t="shared" ref="D83:N83" si="73">((D23*D77)+(D26*$F$101)+(D27*$F$102)+(D28*$F$103)+(D29*$F$104)+(D30*$F$106)+(D31*$F$107)+(D32*$F$109)+(D69*$F$108)+(D70*$F$115)+(D71*$F$104)+(D72*$F$116)+(D76*$F$117))/1000</f>
        <v>0</v>
      </c>
      <c r="E83" s="68">
        <f>((E23*E77)+(E26*$F$101)+(E27*$F$102)+(E28*$F$103)+(E29*$F$104)+(E30*$F$106)+(E31*$F$107)+(E32*$F$109)+(E69*$F$108)+(E70*$F$115)+(E71*$F$104)+(E72*$F$116)+(E76*$F$117))/1000</f>
        <v>0</v>
      </c>
      <c r="F83" s="68">
        <f t="shared" si="73"/>
        <v>0</v>
      </c>
      <c r="G83" s="68">
        <f>((G23*G77)+(G26*$F$101)+(G27*$F$102)+(G28*$F$103)+(G29*$F$104)+(G30*$F$106)+(G31*$F$107)+(G32*$F$109)+(G69*$F$108)+(G70*$F$115)+(G71*$F$104)+(G72*$F$116)+(G76*$F$117))/1000</f>
        <v>0</v>
      </c>
      <c r="H83" s="68">
        <f t="shared" si="73"/>
        <v>0</v>
      </c>
      <c r="I83" s="68">
        <f t="shared" si="73"/>
        <v>0</v>
      </c>
      <c r="J83" s="68">
        <f t="shared" si="73"/>
        <v>0</v>
      </c>
      <c r="K83" s="68">
        <f t="shared" si="73"/>
        <v>0</v>
      </c>
      <c r="L83" s="68">
        <f t="shared" si="73"/>
        <v>714.15719504999993</v>
      </c>
      <c r="M83" s="68">
        <f t="shared" si="73"/>
        <v>714.24293849999992</v>
      </c>
      <c r="N83" s="68">
        <f t="shared" si="73"/>
        <v>823.46690249999995</v>
      </c>
      <c r="O83" s="68">
        <f t="shared" si="68"/>
        <v>2251.8670360499996</v>
      </c>
      <c r="P83" s="68">
        <f t="shared" si="69"/>
        <v>0</v>
      </c>
      <c r="Q83" s="68">
        <f t="shared" si="70"/>
        <v>0</v>
      </c>
      <c r="R83" s="68">
        <f t="shared" si="71"/>
        <v>0</v>
      </c>
      <c r="S83" s="68">
        <f t="shared" si="72"/>
        <v>2251.8670360499996</v>
      </c>
      <c r="T83" s="168"/>
    </row>
    <row r="84" spans="1:21" ht="13.5">
      <c r="A84" s="146" t="s">
        <v>386</v>
      </c>
      <c r="B84" s="146" t="s">
        <v>306</v>
      </c>
      <c r="C84" s="68">
        <f>(C24*C78)</f>
        <v>0</v>
      </c>
      <c r="D84" s="68">
        <f t="shared" ref="D84:N84" si="74">(D24*D78)</f>
        <v>0</v>
      </c>
      <c r="E84" s="68">
        <f t="shared" si="74"/>
        <v>0</v>
      </c>
      <c r="F84" s="68">
        <f t="shared" si="74"/>
        <v>0</v>
      </c>
      <c r="G84" s="68">
        <f t="shared" si="74"/>
        <v>0</v>
      </c>
      <c r="H84" s="68">
        <f t="shared" si="74"/>
        <v>0</v>
      </c>
      <c r="I84" s="68">
        <f t="shared" si="74"/>
        <v>0</v>
      </c>
      <c r="J84" s="68">
        <f t="shared" si="74"/>
        <v>0</v>
      </c>
      <c r="K84" s="68">
        <f t="shared" si="74"/>
        <v>0</v>
      </c>
      <c r="L84" s="68">
        <f t="shared" si="74"/>
        <v>0</v>
      </c>
      <c r="M84" s="68">
        <f t="shared" si="74"/>
        <v>0</v>
      </c>
      <c r="N84" s="68">
        <f t="shared" si="74"/>
        <v>0</v>
      </c>
      <c r="O84" s="68">
        <f t="shared" si="68"/>
        <v>0</v>
      </c>
      <c r="P84" s="68">
        <f t="shared" si="69"/>
        <v>0</v>
      </c>
      <c r="Q84" s="68">
        <f t="shared" si="70"/>
        <v>0</v>
      </c>
      <c r="R84" s="68">
        <f t="shared" si="71"/>
        <v>0</v>
      </c>
      <c r="S84" s="68">
        <f t="shared" si="72"/>
        <v>0</v>
      </c>
      <c r="T84" s="168"/>
    </row>
    <row r="85" spans="1:21" s="145" customFormat="1" ht="13.5">
      <c r="A85" s="153" t="s">
        <v>387</v>
      </c>
      <c r="B85" s="124" t="s">
        <v>377</v>
      </c>
      <c r="C85" s="124">
        <f>SUM(C83:C84)</f>
        <v>0</v>
      </c>
      <c r="D85" s="124">
        <f t="shared" ref="D85:N85" si="75">SUM(D83:D84)</f>
        <v>0</v>
      </c>
      <c r="E85" s="124">
        <f t="shared" si="75"/>
        <v>0</v>
      </c>
      <c r="F85" s="124">
        <f t="shared" si="75"/>
        <v>0</v>
      </c>
      <c r="G85" s="124">
        <f t="shared" si="75"/>
        <v>0</v>
      </c>
      <c r="H85" s="124">
        <f t="shared" si="75"/>
        <v>0</v>
      </c>
      <c r="I85" s="124">
        <f t="shared" si="75"/>
        <v>0</v>
      </c>
      <c r="J85" s="124">
        <f t="shared" si="75"/>
        <v>0</v>
      </c>
      <c r="K85" s="124">
        <f t="shared" si="75"/>
        <v>0</v>
      </c>
      <c r="L85" s="124">
        <f t="shared" si="75"/>
        <v>714.15719504999993</v>
      </c>
      <c r="M85" s="124">
        <f t="shared" si="75"/>
        <v>714.24293849999992</v>
      </c>
      <c r="N85" s="124">
        <f t="shared" si="75"/>
        <v>823.46690249999995</v>
      </c>
      <c r="O85" s="124">
        <f t="shared" si="68"/>
        <v>2251.8670360499996</v>
      </c>
      <c r="P85" s="124">
        <f>SUM(C85:E85)</f>
        <v>0</v>
      </c>
      <c r="Q85" s="124">
        <f t="shared" si="70"/>
        <v>0</v>
      </c>
      <c r="R85" s="124">
        <f t="shared" si="71"/>
        <v>0</v>
      </c>
      <c r="S85" s="124">
        <f t="shared" si="72"/>
        <v>2251.8670360499996</v>
      </c>
      <c r="T85" s="168"/>
      <c r="U85" s="157"/>
    </row>
    <row r="86" spans="1:21" ht="13.5">
      <c r="A86" s="130" t="s">
        <v>388</v>
      </c>
      <c r="B86" s="146" t="s">
        <v>306</v>
      </c>
      <c r="C86" s="68">
        <f>(C33*$F$110)+(C38*$F$112)+(C41*$F$113)</f>
        <v>0</v>
      </c>
      <c r="D86" s="68">
        <f t="shared" ref="D86:N86" si="76">(D33*$F$110)+(D38*$F$112)+(D41*$F$113)</f>
        <v>0</v>
      </c>
      <c r="E86" s="68">
        <f t="shared" si="76"/>
        <v>0</v>
      </c>
      <c r="F86" s="68">
        <f t="shared" si="76"/>
        <v>0</v>
      </c>
      <c r="G86" s="68">
        <f t="shared" si="76"/>
        <v>0</v>
      </c>
      <c r="H86" s="68">
        <f t="shared" si="76"/>
        <v>0</v>
      </c>
      <c r="I86" s="68">
        <f t="shared" si="76"/>
        <v>0</v>
      </c>
      <c r="J86" s="68">
        <f t="shared" si="76"/>
        <v>0</v>
      </c>
      <c r="K86" s="68">
        <f t="shared" si="76"/>
        <v>0</v>
      </c>
      <c r="L86" s="68">
        <f t="shared" si="76"/>
        <v>0</v>
      </c>
      <c r="M86" s="68">
        <f t="shared" si="76"/>
        <v>0</v>
      </c>
      <c r="N86" s="68">
        <f t="shared" si="76"/>
        <v>0</v>
      </c>
      <c r="O86" s="78">
        <f>SUM(C86:N86)</f>
        <v>0</v>
      </c>
      <c r="P86" s="78">
        <f>SUM(C86:E86)</f>
        <v>0</v>
      </c>
      <c r="Q86" s="78">
        <f>SUM(F86:H86)</f>
        <v>0</v>
      </c>
      <c r="R86" s="78">
        <f>SUM(I86:K86)</f>
        <v>0</v>
      </c>
      <c r="S86" s="78">
        <f>SUM(L86:N86)</f>
        <v>0</v>
      </c>
      <c r="T86" s="168"/>
    </row>
    <row r="87" spans="1:21" ht="13.5">
      <c r="A87" s="130" t="s">
        <v>389</v>
      </c>
      <c r="B87" s="146" t="s">
        <v>306</v>
      </c>
      <c r="C87" s="68">
        <f>(C39*$F$112)</f>
        <v>0</v>
      </c>
      <c r="D87" s="68">
        <f t="shared" ref="D87:N87" si="77">(D39*$F$112)</f>
        <v>0</v>
      </c>
      <c r="E87" s="68">
        <f t="shared" si="77"/>
        <v>0</v>
      </c>
      <c r="F87" s="68">
        <f t="shared" si="77"/>
        <v>0</v>
      </c>
      <c r="G87" s="68">
        <f t="shared" si="77"/>
        <v>0</v>
      </c>
      <c r="H87" s="68">
        <f t="shared" si="77"/>
        <v>0</v>
      </c>
      <c r="I87" s="68">
        <f t="shared" si="77"/>
        <v>0</v>
      </c>
      <c r="J87" s="68">
        <f t="shared" si="77"/>
        <v>0</v>
      </c>
      <c r="K87" s="68">
        <f t="shared" si="77"/>
        <v>0</v>
      </c>
      <c r="L87" s="68">
        <f t="shared" si="77"/>
        <v>0</v>
      </c>
      <c r="M87" s="68">
        <f t="shared" si="77"/>
        <v>0</v>
      </c>
      <c r="N87" s="68">
        <f t="shared" si="77"/>
        <v>0</v>
      </c>
      <c r="O87" s="78">
        <f t="shared" ref="O87:O88" si="78">SUM(C87:N87)</f>
        <v>0</v>
      </c>
      <c r="P87" s="78">
        <f t="shared" ref="P87:P88" si="79">SUM(C87:E87)</f>
        <v>0</v>
      </c>
      <c r="Q87" s="78">
        <f t="shared" ref="Q87:Q88" si="80">SUM(F87:H87)</f>
        <v>0</v>
      </c>
      <c r="R87" s="78">
        <f t="shared" ref="R87:R88" si="81">SUM(I87:K87)</f>
        <v>0</v>
      </c>
      <c r="S87" s="78">
        <f t="shared" ref="S87:S88" si="82">SUM(L87:N87)</f>
        <v>0</v>
      </c>
      <c r="T87" s="168"/>
    </row>
    <row r="88" spans="1:21" s="145" customFormat="1" ht="13.5">
      <c r="A88" s="202" t="s">
        <v>390</v>
      </c>
      <c r="B88" s="203" t="s">
        <v>377</v>
      </c>
      <c r="C88" s="203">
        <f>SUM(C86:C87)</f>
        <v>0</v>
      </c>
      <c r="D88" s="203">
        <f t="shared" ref="D88:N88" si="83">SUM(D86:D87)</f>
        <v>0</v>
      </c>
      <c r="E88" s="203">
        <f t="shared" si="83"/>
        <v>0</v>
      </c>
      <c r="F88" s="203">
        <f t="shared" si="83"/>
        <v>0</v>
      </c>
      <c r="G88" s="203">
        <f t="shared" si="83"/>
        <v>0</v>
      </c>
      <c r="H88" s="203">
        <f t="shared" si="83"/>
        <v>0</v>
      </c>
      <c r="I88" s="203">
        <f t="shared" si="83"/>
        <v>0</v>
      </c>
      <c r="J88" s="203">
        <f t="shared" si="83"/>
        <v>0</v>
      </c>
      <c r="K88" s="203">
        <f t="shared" si="83"/>
        <v>0</v>
      </c>
      <c r="L88" s="203">
        <f t="shared" si="83"/>
        <v>0</v>
      </c>
      <c r="M88" s="203">
        <f t="shared" si="83"/>
        <v>0</v>
      </c>
      <c r="N88" s="203">
        <f t="shared" si="83"/>
        <v>0</v>
      </c>
      <c r="O88" s="204">
        <f t="shared" si="78"/>
        <v>0</v>
      </c>
      <c r="P88" s="204">
        <f t="shared" si="79"/>
        <v>0</v>
      </c>
      <c r="Q88" s="204">
        <f t="shared" si="80"/>
        <v>0</v>
      </c>
      <c r="R88" s="204">
        <f t="shared" si="81"/>
        <v>0</v>
      </c>
      <c r="S88" s="204">
        <f t="shared" si="82"/>
        <v>0</v>
      </c>
      <c r="T88" s="168"/>
      <c r="U88" s="157"/>
    </row>
    <row r="89" spans="1:21" s="145" customFormat="1" ht="12.75">
      <c r="A89" s="155" t="s">
        <v>397</v>
      </c>
      <c r="B89" s="160" t="s">
        <v>378</v>
      </c>
      <c r="C89" s="146">
        <f>'CO2 SAY PHUN'!C80*1000/'Production, Raw Mat'!C$3</f>
        <v>142.88053291371185</v>
      </c>
      <c r="D89" s="146">
        <f>'CO2 SAY PHUN'!D80*1000/'Production, Raw Mat'!D$3</f>
        <v>167.06905739013771</v>
      </c>
      <c r="E89" s="146">
        <f>'CO2 SAY PHUN'!E80*1000/'Production, Raw Mat'!E$3</f>
        <v>160.53654455658904</v>
      </c>
      <c r="F89" s="146">
        <f>'CO2 SAY PHUN'!F80*1000/'Production, Raw Mat'!F$3</f>
        <v>154.34441399356689</v>
      </c>
      <c r="G89" s="146">
        <f>'CO2 SAY PHUN'!G80*1000/'Production, Raw Mat'!G$3</f>
        <v>150.07169661838986</v>
      </c>
      <c r="H89" s="146">
        <f>'CO2 SAY PHUN'!H80*1000/'Production, Raw Mat'!H$3</f>
        <v>140.79593128589127</v>
      </c>
      <c r="I89" s="146">
        <f>'CO2 SAY PHUN'!I80*1000/'Production, Raw Mat'!I$3</f>
        <v>140.44858440871084</v>
      </c>
      <c r="J89" s="146">
        <f>'CO2 SAY PHUN'!J80*1000/'Production, Raw Mat'!J$3</f>
        <v>138.87490639660007</v>
      </c>
      <c r="K89" s="146">
        <f>'CO2 SAY PHUN'!K80*1000/'Production, Raw Mat'!K$3</f>
        <v>118.00459970655831</v>
      </c>
      <c r="L89" s="146">
        <f>'CO2 SAY PHUN'!L80*1000/'Production, Raw Mat'!L$3</f>
        <v>57.293725821310652</v>
      </c>
      <c r="M89" s="146">
        <f>'CO2 SAY PHUN'!M80*1000/'Production, Raw Mat'!M$3</f>
        <v>57.954763322314044</v>
      </c>
      <c r="N89" s="146">
        <f>'CO2 SAY PHUN'!N80*1000/'Production, Raw Mat'!N$3</f>
        <v>52.853189623195753</v>
      </c>
      <c r="O89" s="146">
        <f>'CO2 SAY PHUN'!O80*1000/'Production, Raw Mat'!O$3</f>
        <v>13.317704516291377</v>
      </c>
      <c r="P89" s="146">
        <f>'CO2 SAY PHUN'!P80*1000/'Production, Raw Mat'!P$3</f>
        <v>156.71957653967377</v>
      </c>
      <c r="Q89" s="146">
        <f>'CO2 SAY PHUN'!Q80*1000/'Production, Raw Mat'!Q$3</f>
        <v>148.31774874414776</v>
      </c>
      <c r="R89" s="146">
        <f>'CO2 SAY PHUN'!R80*1000/'Production, Raw Mat'!R$3</f>
        <v>134.08009515068457</v>
      </c>
      <c r="S89" s="146">
        <f>'CO2 SAY PHUN'!S80*1000/'Production, Raw Mat'!S$3</f>
        <v>55.781732983727871</v>
      </c>
      <c r="T89" s="168"/>
      <c r="U89" s="157"/>
    </row>
    <row r="90" spans="1:21" s="145" customFormat="1" ht="12.75">
      <c r="A90" s="155" t="s">
        <v>391</v>
      </c>
      <c r="B90" s="160" t="s">
        <v>378</v>
      </c>
      <c r="C90" s="146" t="e">
        <f>'CO2 SAY PHUN'!C81*1000/'Production, Raw Mat'!C$4</f>
        <v>#DIV/0!</v>
      </c>
      <c r="D90" s="146" t="e">
        <f>'CO2 SAY PHUN'!D81*1000/'Production, Raw Mat'!D$4</f>
        <v>#DIV/0!</v>
      </c>
      <c r="E90" s="146" t="e">
        <f>'CO2 SAY PHUN'!E81*1000/'Production, Raw Mat'!E$4</f>
        <v>#DIV/0!</v>
      </c>
      <c r="F90" s="146" t="e">
        <f>'CO2 SAY PHUN'!F81*1000/'Production, Raw Mat'!F$4</f>
        <v>#DIV/0!</v>
      </c>
      <c r="G90" s="146" t="e">
        <f>'CO2 SAY PHUN'!G81*1000/'Production, Raw Mat'!G$4</f>
        <v>#DIV/0!</v>
      </c>
      <c r="H90" s="146" t="e">
        <f>'CO2 SAY PHUN'!H81*1000/'Production, Raw Mat'!H$4</f>
        <v>#DIV/0!</v>
      </c>
      <c r="I90" s="146" t="e">
        <f>'CO2 SAY PHUN'!I81*1000/'Production, Raw Mat'!I$4</f>
        <v>#DIV/0!</v>
      </c>
      <c r="J90" s="146" t="e">
        <f>'CO2 SAY PHUN'!J81*1000/'Production, Raw Mat'!J$4</f>
        <v>#DIV/0!</v>
      </c>
      <c r="K90" s="146" t="e">
        <f>'CO2 SAY PHUN'!K81*1000/'Production, Raw Mat'!K$4</f>
        <v>#DIV/0!</v>
      </c>
      <c r="L90" s="146" t="e">
        <f>'CO2 SAY PHUN'!L81*1000/'Production, Raw Mat'!L$4</f>
        <v>#DIV/0!</v>
      </c>
      <c r="M90" s="146">
        <f>'CO2 SAY PHUN'!M81*1000/'Production, Raw Mat'!M$3</f>
        <v>0</v>
      </c>
      <c r="N90" s="146">
        <f>'CO2 SAY PHUN'!N81*1000/'Production, Raw Mat'!N$3</f>
        <v>0</v>
      </c>
      <c r="O90" s="146">
        <f>'CO2 SAY PHUN'!O81*1000/'Production, Raw Mat'!O$3</f>
        <v>0</v>
      </c>
      <c r="P90" s="146">
        <f>'CO2 SAY PHUN'!P81*1000/'Production, Raw Mat'!P$3</f>
        <v>0</v>
      </c>
      <c r="Q90" s="146">
        <f>'CO2 SAY PHUN'!Q81*1000/'Production, Raw Mat'!Q$3</f>
        <v>0</v>
      </c>
      <c r="R90" s="146">
        <f>'CO2 SAY PHUN'!R81*1000/'Production, Raw Mat'!R$3</f>
        <v>0</v>
      </c>
      <c r="S90" s="146">
        <f>'CO2 SAY PHUN'!S81*1000/'Production, Raw Mat'!S$3</f>
        <v>0</v>
      </c>
      <c r="T90" s="168"/>
      <c r="U90" s="157"/>
    </row>
    <row r="91" spans="1:21" s="145" customFormat="1" ht="12.75">
      <c r="A91" s="203" t="s">
        <v>392</v>
      </c>
      <c r="B91" s="206" t="s">
        <v>183</v>
      </c>
      <c r="C91" s="203">
        <f>'CO2 SAY PHUN'!C82*1000/'Production, Raw Mat'!C$5</f>
        <v>142.88053291371185</v>
      </c>
      <c r="D91" s="203">
        <f>'CO2 SAY PHUN'!D82*1000/'Production, Raw Mat'!D$5</f>
        <v>167.06905739013771</v>
      </c>
      <c r="E91" s="203">
        <f>'CO2 SAY PHUN'!E82*1000/'Production, Raw Mat'!E$5</f>
        <v>160.53654455658904</v>
      </c>
      <c r="F91" s="203">
        <f>'CO2 SAY PHUN'!F82*1000/'Production, Raw Mat'!F$5</f>
        <v>154.34441399356689</v>
      </c>
      <c r="G91" s="203">
        <f>'CO2 SAY PHUN'!G82*1000/'Production, Raw Mat'!G$5</f>
        <v>150.07169661838986</v>
      </c>
      <c r="H91" s="203">
        <f>'CO2 SAY PHUN'!H82*1000/'Production, Raw Mat'!H$5</f>
        <v>140.79593128589127</v>
      </c>
      <c r="I91" s="203">
        <f>'CO2 SAY PHUN'!I82*1000/'Production, Raw Mat'!I$5</f>
        <v>140.44858440871084</v>
      </c>
      <c r="J91" s="203">
        <f>'CO2 SAY PHUN'!J82*1000/'Production, Raw Mat'!J$5</f>
        <v>138.87490639660007</v>
      </c>
      <c r="K91" s="203">
        <f>'CO2 SAY PHUN'!K82*1000/'Production, Raw Mat'!K$5</f>
        <v>118.00459970655831</v>
      </c>
      <c r="L91" s="203">
        <f>'CO2 SAY PHUN'!L82*1000/'Production, Raw Mat'!L$5</f>
        <v>57.293725821310652</v>
      </c>
      <c r="M91" s="203">
        <f>'CO2 SAY PHUN'!M82*1000/'Production, Raw Mat'!M$3</f>
        <v>57.954763322314044</v>
      </c>
      <c r="N91" s="203">
        <f>'CO2 SAY PHUN'!N82*1000/'Production, Raw Mat'!N$3</f>
        <v>52.853189623195753</v>
      </c>
      <c r="O91" s="205">
        <f>'CO2 SAY PHUN'!O82*1000/'Production, Raw Mat'!O$5</f>
        <v>123.64923719956849</v>
      </c>
      <c r="P91" s="205">
        <f>'CO2 SAY PHUN'!P82*1000/'Production, Raw Mat'!P$5</f>
        <v>156.71957653967377</v>
      </c>
      <c r="Q91" s="205">
        <f>'CO2 SAY PHUN'!Q82*1000/'Production, Raw Mat'!Q$5</f>
        <v>148.31774874414776</v>
      </c>
      <c r="R91" s="205">
        <f>'CO2 SAY PHUN'!R82*1000/'Production, Raw Mat'!R$5</f>
        <v>134.0800951506846</v>
      </c>
      <c r="S91" s="205">
        <f>'CO2 SAY PHUN'!S82*1000/'Production, Raw Mat'!S$5</f>
        <v>55.202394705204782</v>
      </c>
      <c r="T91" s="169"/>
      <c r="U91" s="157"/>
    </row>
    <row r="92" spans="1:21" s="145" customFormat="1" ht="12.75">
      <c r="A92" s="155" t="s">
        <v>398</v>
      </c>
      <c r="B92" s="160" t="s">
        <v>378</v>
      </c>
      <c r="C92" s="146">
        <f>'CO2 SAY PHUN'!C83*1000/'Production, Raw Mat'!C$3</f>
        <v>0</v>
      </c>
      <c r="D92" s="146">
        <f>'CO2 SAY PHUN'!D83*1000/'Production, Raw Mat'!D$3</f>
        <v>0</v>
      </c>
      <c r="E92" s="146">
        <f>'CO2 SAY PHUN'!E83*1000/'Production, Raw Mat'!E$3</f>
        <v>0</v>
      </c>
      <c r="F92" s="146">
        <f>'CO2 SAY PHUN'!F83*1000/'Production, Raw Mat'!F$3</f>
        <v>0</v>
      </c>
      <c r="G92" s="146">
        <f>'CO2 SAY PHUN'!G83*1000/'Production, Raw Mat'!G$3</f>
        <v>0</v>
      </c>
      <c r="H92" s="146">
        <f>'CO2 SAY PHUN'!H83*1000/'Production, Raw Mat'!H$3</f>
        <v>0</v>
      </c>
      <c r="I92" s="146">
        <f>'CO2 SAY PHUN'!I83*1000/'Production, Raw Mat'!I$3</f>
        <v>0</v>
      </c>
      <c r="J92" s="146">
        <f>'CO2 SAY PHUN'!J83*1000/'Production, Raw Mat'!J$3</f>
        <v>0</v>
      </c>
      <c r="K92" s="146">
        <f>'CO2 SAY PHUN'!K83*1000/'Production, Raw Mat'!K$3</f>
        <v>0</v>
      </c>
      <c r="L92" s="146">
        <f>'CO2 SAY PHUN'!L83*1000/'Production, Raw Mat'!L$3</f>
        <v>57.293725821310652</v>
      </c>
      <c r="M92" s="146">
        <f>'CO2 SAY PHUN'!M83*1000/'Production, Raw Mat'!M$3</f>
        <v>57.954763322314044</v>
      </c>
      <c r="N92" s="146">
        <f>'CO2 SAY PHUN'!N83*1000/'Production, Raw Mat'!N$3</f>
        <v>52.853189623195753</v>
      </c>
      <c r="O92" s="146">
        <f>'CO2 SAY PHUN'!O83*1000/'Production, Raw Mat'!O$3</f>
        <v>13.317704516291377</v>
      </c>
      <c r="P92" s="146">
        <f>'CO2 SAY PHUN'!P83*1000/'Production, Raw Mat'!P$3</f>
        <v>0</v>
      </c>
      <c r="Q92" s="146">
        <f>'CO2 SAY PHUN'!Q83*1000/'Production, Raw Mat'!Q$3</f>
        <v>0</v>
      </c>
      <c r="R92" s="146">
        <f>'CO2 SAY PHUN'!R83*1000/'Production, Raw Mat'!R$3</f>
        <v>0</v>
      </c>
      <c r="S92" s="146">
        <f>'CO2 SAY PHUN'!S83*1000/'Production, Raw Mat'!S$3</f>
        <v>55.781732983727871</v>
      </c>
      <c r="T92" s="168"/>
      <c r="U92" s="157"/>
    </row>
    <row r="93" spans="1:21" s="145" customFormat="1" ht="12.75">
      <c r="A93" s="155" t="s">
        <v>393</v>
      </c>
      <c r="B93" s="160" t="s">
        <v>378</v>
      </c>
      <c r="C93" s="146" t="e">
        <f>'CO2 SAY PHUN'!C84*1000/'Production, Raw Mat'!C$4</f>
        <v>#DIV/0!</v>
      </c>
      <c r="D93" s="146" t="e">
        <f>'CO2 SAY PHUN'!D84*1000/'Production, Raw Mat'!D$4</f>
        <v>#DIV/0!</v>
      </c>
      <c r="E93" s="146" t="e">
        <f>'CO2 SAY PHUN'!E84*1000/'Production, Raw Mat'!E$4</f>
        <v>#DIV/0!</v>
      </c>
      <c r="F93" s="146" t="e">
        <f>'CO2 SAY PHUN'!F84*1000/'Production, Raw Mat'!F$4</f>
        <v>#DIV/0!</v>
      </c>
      <c r="G93" s="146" t="e">
        <f>'CO2 SAY PHUN'!G84*1000/'Production, Raw Mat'!G$4</f>
        <v>#DIV/0!</v>
      </c>
      <c r="H93" s="146" t="e">
        <f>'CO2 SAY PHUN'!H84*1000/'Production, Raw Mat'!H$4</f>
        <v>#DIV/0!</v>
      </c>
      <c r="I93" s="146" t="e">
        <f>'CO2 SAY PHUN'!I84*1000/'Production, Raw Mat'!I$4</f>
        <v>#DIV/0!</v>
      </c>
      <c r="J93" s="146" t="e">
        <f>'CO2 SAY PHUN'!J84*1000/'Production, Raw Mat'!J$4</f>
        <v>#DIV/0!</v>
      </c>
      <c r="K93" s="146" t="e">
        <f>'CO2 SAY PHUN'!K84*1000/'Production, Raw Mat'!K$4</f>
        <v>#DIV/0!</v>
      </c>
      <c r="L93" s="146" t="e">
        <f>'CO2 SAY PHUN'!L84*1000/'Production, Raw Mat'!L$4</f>
        <v>#DIV/0!</v>
      </c>
      <c r="M93" s="146" t="e">
        <f>'CO2 SAY PHUN'!M84*1000/'Production, Raw Mat'!M$4</f>
        <v>#DIV/0!</v>
      </c>
      <c r="N93" s="146">
        <f>'CO2 SAY PHUN'!N84*1000/'Production, Raw Mat'!N$4</f>
        <v>0</v>
      </c>
      <c r="O93" s="146">
        <f>'CO2 SAY PHUN'!O84*1000/'Production, Raw Mat'!O$4</f>
        <v>0</v>
      </c>
      <c r="P93" s="146" t="e">
        <f>'CO2 SAY PHUN'!P84*1000/'Production, Raw Mat'!P$4</f>
        <v>#DIV/0!</v>
      </c>
      <c r="Q93" s="146" t="e">
        <f>'CO2 SAY PHUN'!Q84*1000/'Production, Raw Mat'!Q$4</f>
        <v>#DIV/0!</v>
      </c>
      <c r="R93" s="146" t="e">
        <f>'CO2 SAY PHUN'!R84*1000/'Production, Raw Mat'!R$4</f>
        <v>#DIV/0!</v>
      </c>
      <c r="S93" s="146">
        <f>'CO2 SAY PHUN'!S84*1000/'Production, Raw Mat'!S$4</f>
        <v>0</v>
      </c>
      <c r="T93" s="168"/>
      <c r="U93" s="157"/>
    </row>
    <row r="94" spans="1:21" s="145" customFormat="1" ht="12.75">
      <c r="A94" s="124" t="s">
        <v>394</v>
      </c>
      <c r="B94" s="158" t="s">
        <v>183</v>
      </c>
      <c r="C94" s="124">
        <f>'CO2 SAY PHUN'!C85*1000/'Production, Raw Mat'!C$5</f>
        <v>0</v>
      </c>
      <c r="D94" s="124">
        <f>'CO2 SAY PHUN'!D85*1000/'Production, Raw Mat'!D$5</f>
        <v>0</v>
      </c>
      <c r="E94" s="124">
        <f>'CO2 SAY PHUN'!E85*1000/'Production, Raw Mat'!E$5</f>
        <v>0</v>
      </c>
      <c r="F94" s="124">
        <f>'CO2 SAY PHUN'!F85*1000/'Production, Raw Mat'!F$5</f>
        <v>0</v>
      </c>
      <c r="G94" s="124">
        <f>'CO2 SAY PHUN'!G85*1000/'Production, Raw Mat'!G$5</f>
        <v>0</v>
      </c>
      <c r="H94" s="124">
        <f>'CO2 SAY PHUN'!H85*1000/'Production, Raw Mat'!H$5</f>
        <v>0</v>
      </c>
      <c r="I94" s="124">
        <f>'CO2 SAY PHUN'!I85*1000/'Production, Raw Mat'!I$5</f>
        <v>0</v>
      </c>
      <c r="J94" s="124">
        <f>'CO2 SAY PHUN'!J85*1000/'Production, Raw Mat'!J$5</f>
        <v>0</v>
      </c>
      <c r="K94" s="124">
        <f>'CO2 SAY PHUN'!K85*1000/'Production, Raw Mat'!K$5</f>
        <v>0</v>
      </c>
      <c r="L94" s="124">
        <f>'CO2 SAY PHUN'!L85*1000/'Production, Raw Mat'!L$5</f>
        <v>57.293725821310652</v>
      </c>
      <c r="M94" s="124">
        <f>'CO2 SAY PHUN'!M85*1000/'Production, Raw Mat'!M$5</f>
        <v>57.954763322314044</v>
      </c>
      <c r="N94" s="124">
        <f>'CO2 SAY PHUN'!N85*1000/'Production, Raw Mat'!N$5</f>
        <v>51.454022998380097</v>
      </c>
      <c r="O94" s="124">
        <f>'CO2 SAY PHUN'!O85*1000/'Production, Raw Mat'!O$5</f>
        <v>13.2844190805575</v>
      </c>
      <c r="P94" s="124">
        <f>'CO2 SAY PHUN'!P85*1000/'Production, Raw Mat'!P$5</f>
        <v>0</v>
      </c>
      <c r="Q94" s="124">
        <f>'CO2 SAY PHUN'!Q85*1000/'Production, Raw Mat'!Q$5</f>
        <v>0</v>
      </c>
      <c r="R94" s="124">
        <f>'CO2 SAY PHUN'!R85*1000/'Production, Raw Mat'!R$5</f>
        <v>0</v>
      </c>
      <c r="S94" s="124">
        <f>'CO2 SAY PHUN'!S85*1000/'Production, Raw Mat'!S$5</f>
        <v>55.202394705204782</v>
      </c>
      <c r="T94" s="168"/>
      <c r="U94" s="157"/>
    </row>
    <row r="95" spans="1:21" s="145" customFormat="1" ht="12.75">
      <c r="A95" s="155" t="s">
        <v>399</v>
      </c>
      <c r="B95" s="160" t="s">
        <v>378</v>
      </c>
      <c r="C95" s="146">
        <f>'CO2 SAY PHUN'!C86*1000/'Production, Raw Mat'!C$3</f>
        <v>0</v>
      </c>
      <c r="D95" s="146">
        <f>'CO2 SAY PHUN'!D86*1000/'Production, Raw Mat'!D$3</f>
        <v>0</v>
      </c>
      <c r="E95" s="146">
        <f>'CO2 SAY PHUN'!E86*1000/'Production, Raw Mat'!E$3</f>
        <v>0</v>
      </c>
      <c r="F95" s="146">
        <f>'CO2 SAY PHUN'!F86*1000/'Production, Raw Mat'!F$3</f>
        <v>0</v>
      </c>
      <c r="G95" s="146">
        <f>'CO2 SAY PHUN'!G86*1000/'Production, Raw Mat'!G$3</f>
        <v>0</v>
      </c>
      <c r="H95" s="146">
        <f>'CO2 SAY PHUN'!H86*1000/'Production, Raw Mat'!H$3</f>
        <v>0</v>
      </c>
      <c r="I95" s="146">
        <f>'CO2 SAY PHUN'!I86*1000/'Production, Raw Mat'!I$3</f>
        <v>0</v>
      </c>
      <c r="J95" s="146">
        <f>'CO2 SAY PHUN'!J86*1000/'Production, Raw Mat'!J$3</f>
        <v>0</v>
      </c>
      <c r="K95" s="146">
        <f>'CO2 SAY PHUN'!K86*1000/'Production, Raw Mat'!K$3</f>
        <v>0</v>
      </c>
      <c r="L95" s="146">
        <f>'CO2 SAY PHUN'!L86*1000/'Production, Raw Mat'!L$3</f>
        <v>0</v>
      </c>
      <c r="M95" s="146">
        <f>M86*1000/'Production, Raw Mat'!M$3</f>
        <v>0</v>
      </c>
      <c r="N95" s="146">
        <f>N86*1000/'Production, Raw Mat'!N$3</f>
        <v>0</v>
      </c>
      <c r="O95" s="146">
        <f>O86*1000/'Production, Raw Mat'!O$3</f>
        <v>0</v>
      </c>
      <c r="P95" s="146">
        <f>P86*1000/'Production, Raw Mat'!P$3</f>
        <v>0</v>
      </c>
      <c r="Q95" s="146">
        <f>Q86*1000/'Production, Raw Mat'!Q$3</f>
        <v>0</v>
      </c>
      <c r="R95" s="146">
        <f>R86*1000/'Production, Raw Mat'!R$3</f>
        <v>0</v>
      </c>
      <c r="S95" s="146">
        <f>S86*1000/'Production, Raw Mat'!S$3</f>
        <v>0</v>
      </c>
      <c r="T95" s="168"/>
      <c r="U95" s="157"/>
    </row>
    <row r="96" spans="1:21" s="145" customFormat="1" ht="12.75">
      <c r="A96" s="155" t="s">
        <v>395</v>
      </c>
      <c r="B96" s="160" t="s">
        <v>378</v>
      </c>
      <c r="C96" s="146" t="e">
        <f>'CO2 SAY PHUN'!C87*1000/'Production, Raw Mat'!C$4</f>
        <v>#DIV/0!</v>
      </c>
      <c r="D96" s="146" t="e">
        <f>'CO2 SAY PHUN'!D87*1000/'Production, Raw Mat'!D$4</f>
        <v>#DIV/0!</v>
      </c>
      <c r="E96" s="146" t="e">
        <f>'CO2 SAY PHUN'!E87*1000/'Production, Raw Mat'!E$4</f>
        <v>#DIV/0!</v>
      </c>
      <c r="F96" s="146" t="e">
        <f>'CO2 SAY PHUN'!F87*1000/'Production, Raw Mat'!F$4</f>
        <v>#DIV/0!</v>
      </c>
      <c r="G96" s="146" t="e">
        <f>'CO2 SAY PHUN'!G87*1000/'Production, Raw Mat'!G$4</f>
        <v>#DIV/0!</v>
      </c>
      <c r="H96" s="146" t="e">
        <f>'CO2 SAY PHUN'!H87*1000/'Production, Raw Mat'!H$4</f>
        <v>#DIV/0!</v>
      </c>
      <c r="I96" s="146" t="e">
        <f>'CO2 SAY PHUN'!I87*1000/'Production, Raw Mat'!I$4</f>
        <v>#DIV/0!</v>
      </c>
      <c r="J96" s="146" t="e">
        <f>'CO2 SAY PHUN'!J87*1000/'Production, Raw Mat'!J$4</f>
        <v>#DIV/0!</v>
      </c>
      <c r="K96" s="146" t="e">
        <f>'CO2 SAY PHUN'!K87*1000/'Production, Raw Mat'!K$4</f>
        <v>#DIV/0!</v>
      </c>
      <c r="L96" s="146" t="e">
        <f>'CO2 SAY PHUN'!L87*1000/'Production, Raw Mat'!L$4</f>
        <v>#DIV/0!</v>
      </c>
      <c r="M96" s="146">
        <f>M87*1000/'Production, Raw Mat'!M$3</f>
        <v>0</v>
      </c>
      <c r="N96" s="146">
        <f>N87*1000/'Production, Raw Mat'!N$3</f>
        <v>0</v>
      </c>
      <c r="O96" s="146">
        <f>O87*1000/'Production, Raw Mat'!O$3</f>
        <v>0</v>
      </c>
      <c r="P96" s="146">
        <f>P87*1000/'Production, Raw Mat'!P$3</f>
        <v>0</v>
      </c>
      <c r="Q96" s="146">
        <f>Q87*1000/'Production, Raw Mat'!Q$3</f>
        <v>0</v>
      </c>
      <c r="R96" s="146">
        <f>R87*1000/'Production, Raw Mat'!R$3</f>
        <v>0</v>
      </c>
      <c r="S96" s="146">
        <f>S87*1000/'Production, Raw Mat'!S$3</f>
        <v>0</v>
      </c>
      <c r="T96" s="168"/>
      <c r="U96" s="157"/>
    </row>
    <row r="97" spans="1:21" s="145" customFormat="1" ht="12.75">
      <c r="A97" s="203" t="s">
        <v>396</v>
      </c>
      <c r="B97" s="206" t="s">
        <v>183</v>
      </c>
      <c r="C97" s="203">
        <f>'CO2 SAY PHUN'!C88*1000/'Production, Raw Mat'!C$5</f>
        <v>0</v>
      </c>
      <c r="D97" s="203">
        <f>'CO2 SAY PHUN'!D88*1000/'Production, Raw Mat'!D$5</f>
        <v>0</v>
      </c>
      <c r="E97" s="203">
        <f>'CO2 SAY PHUN'!E88*1000/'Production, Raw Mat'!E$5</f>
        <v>0</v>
      </c>
      <c r="F97" s="203">
        <f>'CO2 SAY PHUN'!F88*1000/'Production, Raw Mat'!F$5</f>
        <v>0</v>
      </c>
      <c r="G97" s="203">
        <f>'CO2 SAY PHUN'!G88*1000/'Production, Raw Mat'!G$5</f>
        <v>0</v>
      </c>
      <c r="H97" s="203">
        <f>'CO2 SAY PHUN'!H88*1000/'Production, Raw Mat'!H$5</f>
        <v>0</v>
      </c>
      <c r="I97" s="203">
        <f>'CO2 SAY PHUN'!I88*1000/'Production, Raw Mat'!I$5</f>
        <v>0</v>
      </c>
      <c r="J97" s="203">
        <f>'CO2 SAY PHUN'!J88*1000/'Production, Raw Mat'!J$5</f>
        <v>0</v>
      </c>
      <c r="K97" s="203">
        <f>'CO2 SAY PHUN'!K88*1000/'Production, Raw Mat'!K$5</f>
        <v>0</v>
      </c>
      <c r="L97" s="203">
        <f>'CO2 SAY PHUN'!L88*1000/'Production, Raw Mat'!L$5</f>
        <v>0</v>
      </c>
      <c r="M97" s="203">
        <f>M88*1000/'Production, Raw Mat'!M$3</f>
        <v>0</v>
      </c>
      <c r="N97" s="203">
        <f>N88*1000/'Production, Raw Mat'!N$3</f>
        <v>0</v>
      </c>
      <c r="O97" s="205">
        <f>O88*1000/'Production, Raw Mat'!O$5</f>
        <v>0</v>
      </c>
      <c r="P97" s="205">
        <f>P88*1000/'Production, Raw Mat'!P$5</f>
        <v>0</v>
      </c>
      <c r="Q97" s="205">
        <f>Q88*1000/'Production, Raw Mat'!Q$5</f>
        <v>0</v>
      </c>
      <c r="R97" s="205">
        <f>R88*1000/'Production, Raw Mat'!R$5</f>
        <v>0</v>
      </c>
      <c r="S97" s="205">
        <f>S88*1000/'Production, Raw Mat'!S$5</f>
        <v>0</v>
      </c>
      <c r="T97" s="169"/>
      <c r="U97" s="157"/>
    </row>
    <row r="98" spans="1:21">
      <c r="C98" s="132">
        <f>C91+C97</f>
        <v>142.88053291371185</v>
      </c>
      <c r="D98" s="132">
        <f t="shared" ref="D98:O98" si="84">D91+D97</f>
        <v>167.06905739013771</v>
      </c>
      <c r="E98" s="132">
        <f t="shared" si="84"/>
        <v>160.53654455658904</v>
      </c>
      <c r="F98" s="132">
        <f t="shared" si="84"/>
        <v>154.34441399356689</v>
      </c>
      <c r="G98" s="132">
        <f t="shared" si="84"/>
        <v>150.07169661838986</v>
      </c>
      <c r="H98" s="132">
        <f t="shared" si="84"/>
        <v>140.79593128589127</v>
      </c>
      <c r="I98" s="132">
        <f t="shared" si="84"/>
        <v>140.44858440871084</v>
      </c>
      <c r="J98" s="132">
        <f t="shared" si="84"/>
        <v>138.87490639660007</v>
      </c>
      <c r="K98" s="132">
        <f t="shared" si="84"/>
        <v>118.00459970655831</v>
      </c>
      <c r="L98" s="132">
        <f t="shared" si="84"/>
        <v>57.293725821310652</v>
      </c>
      <c r="M98" s="132">
        <f t="shared" si="84"/>
        <v>57.954763322314044</v>
      </c>
      <c r="N98" s="132">
        <f t="shared" si="84"/>
        <v>52.853189623195753</v>
      </c>
      <c r="O98" s="132">
        <f t="shared" si="84"/>
        <v>123.64923719956849</v>
      </c>
    </row>
    <row r="99" spans="1:21" ht="13.5">
      <c r="A99" s="126" t="s">
        <v>119</v>
      </c>
      <c r="B99" s="233" t="s">
        <v>192</v>
      </c>
      <c r="C99" s="234"/>
      <c r="D99" s="235"/>
      <c r="E99" s="233" t="s">
        <v>184</v>
      </c>
      <c r="F99" s="234"/>
      <c r="G99" s="235"/>
      <c r="H99" s="132">
        <f>G98-H98</f>
        <v>9.2757653324985938</v>
      </c>
    </row>
    <row r="100" spans="1:21" ht="12.75">
      <c r="A100" s="80" t="s">
        <v>249</v>
      </c>
      <c r="B100" s="148"/>
      <c r="C100" s="148"/>
      <c r="D100" s="148"/>
      <c r="E100" s="149" t="s">
        <v>334</v>
      </c>
      <c r="F100" s="109">
        <v>98.3</v>
      </c>
      <c r="G100" s="80" t="s">
        <v>5</v>
      </c>
    </row>
    <row r="101" spans="1:21" ht="12.75">
      <c r="A101" s="80" t="s">
        <v>290</v>
      </c>
      <c r="B101" s="80" t="s">
        <v>115</v>
      </c>
      <c r="C101" s="80"/>
      <c r="D101" s="80" t="s">
        <v>5</v>
      </c>
      <c r="E101" s="149" t="s">
        <v>186</v>
      </c>
      <c r="F101" s="109"/>
      <c r="G101" s="80" t="s">
        <v>5</v>
      </c>
    </row>
    <row r="102" spans="1:21">
      <c r="A102" s="80" t="s">
        <v>106</v>
      </c>
      <c r="B102" s="80" t="s">
        <v>116</v>
      </c>
      <c r="C102" s="68">
        <v>1.0549999999999999</v>
      </c>
      <c r="D102" s="150" t="s">
        <v>114</v>
      </c>
      <c r="E102" s="151" t="s">
        <v>187</v>
      </c>
      <c r="F102" s="217">
        <v>59.239899999999999</v>
      </c>
      <c r="G102" s="150" t="s">
        <v>114</v>
      </c>
    </row>
    <row r="103" spans="1:21">
      <c r="A103" s="127" t="s">
        <v>107</v>
      </c>
      <c r="B103" s="127" t="s">
        <v>116</v>
      </c>
      <c r="C103" s="68">
        <v>1.0549999999999999</v>
      </c>
      <c r="D103" s="150" t="s">
        <v>114</v>
      </c>
      <c r="E103" s="151" t="s">
        <v>187</v>
      </c>
      <c r="F103" s="109"/>
      <c r="G103" s="80" t="s">
        <v>5</v>
      </c>
    </row>
    <row r="104" spans="1:21" ht="12.75">
      <c r="A104" s="80" t="s">
        <v>176</v>
      </c>
      <c r="B104" s="80" t="s">
        <v>117</v>
      </c>
      <c r="C104" s="68">
        <v>4.9299999999999997E-2</v>
      </c>
      <c r="D104" s="150" t="s">
        <v>114</v>
      </c>
      <c r="E104" s="149" t="s">
        <v>190</v>
      </c>
      <c r="F104" s="217">
        <v>3.1133000000000002</v>
      </c>
      <c r="G104" s="150" t="s">
        <v>114</v>
      </c>
    </row>
    <row r="105" spans="1:21" ht="12.75">
      <c r="A105" s="80" t="s">
        <v>189</v>
      </c>
      <c r="B105" s="148"/>
      <c r="C105" s="148"/>
      <c r="D105" s="148"/>
      <c r="E105" s="149" t="s">
        <v>190</v>
      </c>
      <c r="F105" s="217">
        <v>3.1899000000000002</v>
      </c>
      <c r="G105" s="150" t="s">
        <v>114</v>
      </c>
    </row>
    <row r="106" spans="1:21">
      <c r="A106" s="80" t="s">
        <v>109</v>
      </c>
      <c r="B106" s="80" t="s">
        <v>118</v>
      </c>
      <c r="C106" s="68">
        <v>3.977E-2</v>
      </c>
      <c r="D106" s="150" t="s">
        <v>114</v>
      </c>
      <c r="E106" s="151" t="s">
        <v>188</v>
      </c>
      <c r="F106" s="217">
        <v>3.0832999999999999</v>
      </c>
      <c r="G106" s="150" t="s">
        <v>191</v>
      </c>
    </row>
    <row r="107" spans="1:21">
      <c r="A107" s="80" t="s">
        <v>238</v>
      </c>
      <c r="B107" s="80" t="s">
        <v>118</v>
      </c>
      <c r="C107" s="68">
        <v>3.6420000000000001E-2</v>
      </c>
      <c r="D107" s="150" t="s">
        <v>114</v>
      </c>
      <c r="E107" s="151" t="s">
        <v>188</v>
      </c>
      <c r="F107" s="217">
        <v>2.7080000000000002</v>
      </c>
      <c r="G107" s="150" t="s">
        <v>114</v>
      </c>
    </row>
    <row r="108" spans="1:21">
      <c r="A108" s="80" t="s">
        <v>239</v>
      </c>
      <c r="B108" s="148"/>
      <c r="C108" s="148"/>
      <c r="D108" s="148"/>
      <c r="E108" s="151" t="s">
        <v>188</v>
      </c>
      <c r="F108" s="217">
        <v>2.7446000000000002</v>
      </c>
      <c r="G108" s="150" t="s">
        <v>114</v>
      </c>
    </row>
    <row r="109" spans="1:21">
      <c r="A109" s="80" t="s">
        <v>111</v>
      </c>
      <c r="B109" s="80" t="s">
        <v>118</v>
      </c>
      <c r="C109" s="68">
        <v>3.1480000000000001E-2</v>
      </c>
      <c r="D109" s="150" t="s">
        <v>114</v>
      </c>
      <c r="E109" s="151" t="s">
        <v>188</v>
      </c>
      <c r="F109" s="217">
        <v>2.2376</v>
      </c>
      <c r="G109" s="150" t="s">
        <v>114</v>
      </c>
    </row>
    <row r="110" spans="1:21" ht="12.75">
      <c r="A110" s="80" t="s">
        <v>112</v>
      </c>
      <c r="B110" s="80" t="s">
        <v>115</v>
      </c>
      <c r="C110" s="80"/>
      <c r="D110" s="80" t="s">
        <v>5</v>
      </c>
      <c r="E110" s="149" t="s">
        <v>186</v>
      </c>
      <c r="F110" s="109"/>
      <c r="G110" s="80" t="s">
        <v>5</v>
      </c>
    </row>
    <row r="111" spans="1:21">
      <c r="A111" s="144" t="s">
        <v>113</v>
      </c>
      <c r="B111" s="80" t="s">
        <v>117</v>
      </c>
      <c r="C111" s="144">
        <v>1.44E-2</v>
      </c>
      <c r="D111" s="80" t="s">
        <v>5</v>
      </c>
      <c r="E111" s="148"/>
      <c r="F111" s="148"/>
      <c r="G111" s="148"/>
    </row>
    <row r="112" spans="1:21" ht="12.75">
      <c r="A112" s="144" t="s">
        <v>52</v>
      </c>
      <c r="B112" s="144" t="s">
        <v>99</v>
      </c>
      <c r="C112" s="68">
        <f>3.6</f>
        <v>3.6</v>
      </c>
      <c r="D112" s="150" t="s">
        <v>114</v>
      </c>
      <c r="E112" s="151" t="s">
        <v>400</v>
      </c>
      <c r="F112" s="215">
        <v>0.8649</v>
      </c>
      <c r="G112" s="150" t="s">
        <v>114</v>
      </c>
    </row>
    <row r="113" spans="1:21" ht="12.75">
      <c r="A113" s="144" t="s">
        <v>96</v>
      </c>
      <c r="B113" s="144" t="s">
        <v>99</v>
      </c>
      <c r="C113" s="68">
        <f>3.6</f>
        <v>3.6</v>
      </c>
      <c r="D113" s="150" t="s">
        <v>114</v>
      </c>
      <c r="E113" s="151" t="s">
        <v>185</v>
      </c>
      <c r="F113" s="80"/>
      <c r="G113" s="80" t="s">
        <v>5</v>
      </c>
    </row>
    <row r="114" spans="1:21">
      <c r="A114" s="80" t="s">
        <v>97</v>
      </c>
      <c r="B114" s="144" t="s">
        <v>99</v>
      </c>
      <c r="C114" s="68">
        <f>3.6</f>
        <v>3.6</v>
      </c>
      <c r="D114" s="150" t="s">
        <v>114</v>
      </c>
      <c r="E114" s="148"/>
      <c r="F114" s="148"/>
      <c r="G114" s="148"/>
    </row>
    <row r="115" spans="1:21" ht="12.75">
      <c r="A115" s="144" t="s">
        <v>174</v>
      </c>
      <c r="B115" s="148"/>
      <c r="C115" s="148"/>
      <c r="D115" s="148"/>
      <c r="E115" s="149" t="s">
        <v>190</v>
      </c>
      <c r="F115" s="217">
        <v>3.3845999999999998</v>
      </c>
      <c r="G115" s="150" t="s">
        <v>191</v>
      </c>
    </row>
    <row r="116" spans="1:21" ht="15">
      <c r="A116" s="127" t="s">
        <v>175</v>
      </c>
      <c r="B116" s="148"/>
      <c r="C116" s="148"/>
      <c r="D116" s="148"/>
      <c r="E116" s="149" t="s">
        <v>190</v>
      </c>
      <c r="F116" s="217">
        <v>439.71</v>
      </c>
      <c r="G116" s="150" t="s">
        <v>191</v>
      </c>
    </row>
    <row r="117" spans="1:21" ht="12.75">
      <c r="A117" s="80" t="s">
        <v>177</v>
      </c>
      <c r="B117" s="148"/>
      <c r="C117" s="148"/>
      <c r="D117" s="148"/>
      <c r="E117" s="151" t="s">
        <v>193</v>
      </c>
      <c r="F117" s="217">
        <v>25</v>
      </c>
      <c r="G117" s="150" t="s">
        <v>191</v>
      </c>
    </row>
    <row r="120" spans="1:21" s="142" customFormat="1">
      <c r="A120" s="126" t="s">
        <v>122</v>
      </c>
      <c r="B120" s="126" t="s">
        <v>73</v>
      </c>
      <c r="C120" s="126" t="s">
        <v>74</v>
      </c>
      <c r="D120" s="126" t="s">
        <v>75</v>
      </c>
      <c r="E120" s="126" t="s">
        <v>76</v>
      </c>
      <c r="F120" s="126" t="s">
        <v>77</v>
      </c>
      <c r="G120" s="126" t="s">
        <v>78</v>
      </c>
      <c r="H120" s="126" t="s">
        <v>79</v>
      </c>
      <c r="I120" s="126" t="s">
        <v>80</v>
      </c>
      <c r="J120" s="126" t="s">
        <v>81</v>
      </c>
      <c r="K120" s="126" t="s">
        <v>82</v>
      </c>
      <c r="L120" s="126" t="s">
        <v>83</v>
      </c>
      <c r="M120" s="126" t="s">
        <v>84</v>
      </c>
      <c r="N120" s="126" t="s">
        <v>85</v>
      </c>
      <c r="O120" s="132"/>
      <c r="P120" s="132"/>
      <c r="Q120" s="132"/>
      <c r="R120" s="132"/>
      <c r="S120" s="132"/>
      <c r="T120" s="157"/>
      <c r="U120" s="157"/>
    </row>
    <row r="121" spans="1:21">
      <c r="A121" s="80" t="s">
        <v>104</v>
      </c>
      <c r="B121" s="150" t="s">
        <v>180</v>
      </c>
      <c r="C121" s="80"/>
      <c r="D121" s="80"/>
      <c r="E121" s="80"/>
      <c r="F121" s="80"/>
      <c r="G121" s="80"/>
      <c r="H121" s="80"/>
      <c r="I121" s="80"/>
      <c r="J121" s="80"/>
      <c r="K121" s="80"/>
      <c r="L121" s="80"/>
      <c r="M121" s="80"/>
      <c r="N121" s="80"/>
    </row>
    <row r="122" spans="1:21">
      <c r="A122" s="80" t="s">
        <v>105</v>
      </c>
      <c r="B122" s="150" t="s">
        <v>180</v>
      </c>
      <c r="C122" s="80"/>
      <c r="D122" s="80"/>
      <c r="E122" s="80"/>
      <c r="F122" s="80"/>
      <c r="G122" s="80"/>
      <c r="H122" s="80"/>
      <c r="I122" s="80"/>
      <c r="J122" s="80"/>
      <c r="K122" s="80"/>
      <c r="L122" s="80"/>
      <c r="M122" s="80"/>
      <c r="N122" s="80"/>
    </row>
    <row r="123" spans="1:21">
      <c r="A123" s="80" t="s">
        <v>106</v>
      </c>
      <c r="B123" s="150" t="s">
        <v>180</v>
      </c>
      <c r="C123" s="80"/>
      <c r="D123" s="80"/>
      <c r="E123" s="80"/>
      <c r="F123" s="80"/>
      <c r="G123" s="80"/>
      <c r="H123" s="80"/>
      <c r="I123" s="80"/>
      <c r="J123" s="80"/>
      <c r="K123" s="80"/>
      <c r="L123" s="80"/>
      <c r="M123" s="80"/>
      <c r="N123" s="80"/>
    </row>
    <row r="124" spans="1:21">
      <c r="A124" s="127" t="s">
        <v>107</v>
      </c>
      <c r="B124" s="150" t="s">
        <v>180</v>
      </c>
      <c r="C124" s="127"/>
      <c r="D124" s="127"/>
      <c r="E124" s="127"/>
      <c r="F124" s="127"/>
      <c r="G124" s="127"/>
      <c r="H124" s="127"/>
      <c r="I124" s="127"/>
      <c r="J124" s="127"/>
      <c r="K124" s="127"/>
      <c r="L124" s="127"/>
      <c r="M124" s="127"/>
      <c r="N124" s="127"/>
    </row>
    <row r="125" spans="1:21">
      <c r="A125" s="80" t="s">
        <v>108</v>
      </c>
      <c r="B125" s="150" t="s">
        <v>180</v>
      </c>
      <c r="C125" s="80"/>
      <c r="D125" s="80"/>
      <c r="E125" s="80"/>
      <c r="F125" s="80"/>
      <c r="G125" s="80"/>
      <c r="H125" s="80"/>
      <c r="I125" s="80"/>
      <c r="J125" s="80"/>
      <c r="K125" s="80"/>
      <c r="L125" s="80"/>
      <c r="M125" s="80"/>
      <c r="N125" s="80"/>
    </row>
    <row r="126" spans="1:21">
      <c r="A126" s="80" t="s">
        <v>109</v>
      </c>
      <c r="B126" s="150" t="s">
        <v>180</v>
      </c>
      <c r="C126" s="80"/>
      <c r="D126" s="80"/>
      <c r="E126" s="80"/>
      <c r="F126" s="80"/>
      <c r="G126" s="80"/>
      <c r="H126" s="80"/>
      <c r="I126" s="80"/>
      <c r="J126" s="80"/>
      <c r="K126" s="80"/>
      <c r="L126" s="80"/>
      <c r="M126" s="80"/>
      <c r="N126" s="80"/>
    </row>
    <row r="127" spans="1:21">
      <c r="A127" s="80" t="s">
        <v>110</v>
      </c>
      <c r="B127" s="152" t="s">
        <v>233</v>
      </c>
      <c r="C127" s="87"/>
      <c r="D127" s="80"/>
      <c r="E127" s="80"/>
      <c r="F127" s="80"/>
      <c r="G127" s="80"/>
      <c r="H127" s="80"/>
      <c r="I127" s="80"/>
      <c r="J127" s="80"/>
      <c r="K127" s="80"/>
      <c r="L127" s="80"/>
      <c r="M127" s="80"/>
      <c r="N127" s="80"/>
    </row>
    <row r="128" spans="1:21">
      <c r="A128" s="80" t="s">
        <v>111</v>
      </c>
      <c r="B128" s="150" t="s">
        <v>180</v>
      </c>
      <c r="C128" s="80"/>
      <c r="D128" s="80"/>
      <c r="E128" s="80"/>
      <c r="F128" s="80"/>
      <c r="G128" s="80"/>
      <c r="H128" s="80"/>
      <c r="I128" s="80"/>
      <c r="J128" s="80"/>
      <c r="K128" s="80"/>
      <c r="L128" s="80"/>
      <c r="M128" s="80"/>
      <c r="N128" s="80"/>
    </row>
    <row r="129" spans="1:14">
      <c r="A129" s="80" t="s">
        <v>112</v>
      </c>
      <c r="B129" s="150" t="s">
        <v>180</v>
      </c>
      <c r="C129" s="80"/>
      <c r="D129" s="80"/>
      <c r="E129" s="80"/>
      <c r="F129" s="80"/>
      <c r="G129" s="80"/>
      <c r="H129" s="80"/>
      <c r="I129" s="80"/>
      <c r="J129" s="80"/>
      <c r="K129" s="80"/>
      <c r="L129" s="80"/>
      <c r="M129" s="80"/>
      <c r="N129" s="80"/>
    </row>
    <row r="130" spans="1:14">
      <c r="A130" s="80" t="s">
        <v>113</v>
      </c>
      <c r="B130" s="150" t="s">
        <v>180</v>
      </c>
      <c r="C130" s="80"/>
      <c r="D130" s="80"/>
      <c r="E130" s="80"/>
      <c r="F130" s="80"/>
      <c r="G130" s="80"/>
      <c r="H130" s="80"/>
      <c r="I130" s="80"/>
      <c r="J130" s="80"/>
      <c r="K130" s="80"/>
      <c r="L130" s="80"/>
      <c r="M130" s="80"/>
      <c r="N130" s="80"/>
    </row>
    <row r="131" spans="1:14">
      <c r="A131" s="80" t="s">
        <v>52</v>
      </c>
      <c r="B131" s="152" t="s">
        <v>233</v>
      </c>
      <c r="C131" s="87"/>
      <c r="D131" s="80"/>
      <c r="E131" s="80"/>
      <c r="F131" s="80"/>
      <c r="G131" s="80"/>
      <c r="H131" s="80"/>
      <c r="I131" s="80"/>
      <c r="J131" s="80"/>
      <c r="K131" s="80"/>
      <c r="L131" s="80"/>
      <c r="M131" s="80"/>
      <c r="N131" s="80"/>
    </row>
    <row r="132" spans="1:14">
      <c r="A132" s="80" t="s">
        <v>96</v>
      </c>
      <c r="B132" s="150" t="s">
        <v>180</v>
      </c>
      <c r="C132" s="80"/>
      <c r="D132" s="80"/>
      <c r="E132" s="80"/>
      <c r="F132" s="80"/>
      <c r="G132" s="80"/>
      <c r="H132" s="80"/>
      <c r="I132" s="80"/>
      <c r="J132" s="80"/>
      <c r="K132" s="80"/>
      <c r="L132" s="80"/>
      <c r="M132" s="80"/>
      <c r="N132" s="80"/>
    </row>
    <row r="133" spans="1:14">
      <c r="A133" s="80" t="s">
        <v>97</v>
      </c>
      <c r="B133" s="150" t="s">
        <v>180</v>
      </c>
      <c r="C133" s="80"/>
      <c r="D133" s="80"/>
      <c r="E133" s="80"/>
      <c r="F133" s="80"/>
      <c r="G133" s="80"/>
      <c r="H133" s="80"/>
      <c r="I133" s="80"/>
      <c r="J133" s="80"/>
      <c r="K133" s="80"/>
      <c r="L133" s="80"/>
      <c r="M133" s="80"/>
      <c r="N133" s="80"/>
    </row>
  </sheetData>
  <mergeCells count="2">
    <mergeCell ref="B99:D99"/>
    <mergeCell ref="E99:G9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Business</vt:lpstr>
      <vt:lpstr>Scope</vt:lpstr>
      <vt:lpstr>Production, Raw Mat</vt:lpstr>
      <vt:lpstr>Energy, GHG</vt:lpstr>
      <vt:lpstr>Energy, GHG (2)</vt:lpstr>
      <vt:lpstr>Water</vt:lpstr>
      <vt:lpstr>Waste</vt:lpstr>
      <vt:lpstr>Emission</vt:lpstr>
      <vt:lpstr>CO2 SAY PHUN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mykt</cp:lastModifiedBy>
  <dcterms:created xsi:type="dcterms:W3CDTF">2017-04-20T01:56:10Z</dcterms:created>
  <dcterms:modified xsi:type="dcterms:W3CDTF">2021-03-15T06:32:44Z</dcterms:modified>
</cp:coreProperties>
</file>